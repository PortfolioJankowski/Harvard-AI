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en_skoroszyt" defaultThemeVersion="166925"/>
  <mc:AlternateContent xmlns:mc="http://schemas.openxmlformats.org/markup-compatibility/2006">
    <mc:Choice Requires="x15">
      <x15ac:absPath xmlns:x15ac="http://schemas.microsoft.com/office/spreadsheetml/2010/11/ac" url="C:\Users\matja\Desktop\"/>
    </mc:Choice>
  </mc:AlternateContent>
  <xr:revisionPtr revIDLastSave="0" documentId="13_ncr:1_{692E9C73-A936-4E83-9075-F0D00B88F017}" xr6:coauthVersionLast="47" xr6:coauthVersionMax="47" xr10:uidLastSave="{00000000-0000-0000-0000-000000000000}"/>
  <bookViews>
    <workbookView xWindow="-120" yWindow="-120" windowWidth="29040" windowHeight="15720" xr2:uid="{13252EA4-9E4B-4338-AA92-9F86D683D841}"/>
  </bookViews>
  <sheets>
    <sheet name="Arkusz1" sheetId="1" r:id="rId1"/>
    <sheet name="Arkusz3" sheetId="4" r:id="rId2"/>
    <sheet name="POMOC"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1" l="1"/>
  <c r="H3" i="1" s="1"/>
  <c r="I5" i="1" s="1"/>
  <c r="I6" i="1" s="1"/>
  <c r="D3" i="1"/>
  <c r="E3" i="1" s="1"/>
  <c r="D5" i="1" s="1"/>
  <c r="D6" i="1" s="1"/>
  <c r="B3" i="1"/>
  <c r="C3" i="1" s="1"/>
  <c r="C5" i="1" s="1"/>
  <c r="C6" i="1" s="1"/>
  <c r="C48" i="1" l="1"/>
  <c r="H5" i="1"/>
  <c r="H6" i="1" s="1"/>
  <c r="G5" i="1"/>
  <c r="G6" i="1" s="1"/>
  <c r="F5" i="1"/>
  <c r="F6" i="1" s="1"/>
  <c r="E5" i="1"/>
  <c r="E6" i="1" s="1"/>
  <c r="B5" i="1"/>
  <c r="B6" i="1" s="1"/>
  <c r="L8" i="1" l="1" a="1"/>
  <c r="L8" i="1" s="1"/>
  <c r="B52" i="1"/>
  <c r="C52" i="1"/>
  <c r="D52" i="1"/>
  <c r="E52" i="1"/>
  <c r="B35" i="1" l="1" a="1"/>
  <c r="B35" i="1" s="1"/>
  <c r="B36" i="1" s="1"/>
  <c r="B82" i="1" a="1"/>
  <c r="B82" i="1" s="1"/>
  <c r="B90" i="1" a="1"/>
  <c r="B90" i="1" s="1"/>
  <c r="D36" i="1" l="1"/>
  <c r="G36" i="1"/>
  <c r="F36" i="1"/>
  <c r="C36" i="1"/>
  <c r="H36" i="1"/>
  <c r="I36" i="1"/>
  <c r="E36" i="1"/>
  <c r="B38" i="1" l="1" a="1"/>
  <c r="C39" i="1" s="1"/>
  <c r="L17" i="1" a="1"/>
  <c r="L17" i="1" s="1"/>
  <c r="H39" i="1" l="1"/>
  <c r="B38" i="1"/>
  <c r="B39" i="1" s="1"/>
  <c r="D39" i="1"/>
  <c r="E39" i="1"/>
  <c r="F39" i="1"/>
  <c r="G39" i="1"/>
  <c r="I39" i="1"/>
  <c r="B41" i="1" l="1" a="1"/>
  <c r="B41" i="1" s="1"/>
  <c r="B42" i="1" s="1"/>
  <c r="B56" i="1" s="1"/>
  <c r="L26" i="1" a="1"/>
  <c r="L26" i="1" s="1"/>
  <c r="B58" i="1" l="1"/>
  <c r="D42" i="1"/>
  <c r="D56" i="1" s="1"/>
  <c r="D58" i="1" s="1"/>
  <c r="E42" i="1"/>
  <c r="E56" i="1" s="1"/>
  <c r="E58" i="1" s="1"/>
  <c r="C42" i="1"/>
  <c r="C56" i="1" s="1"/>
  <c r="C58" i="1" s="1"/>
  <c r="L3" i="1" l="1"/>
  <c r="N26" i="1" a="1"/>
  <c r="B45" i="1"/>
  <c r="C45" i="1" s="1"/>
  <c r="A1" i="1" s="1"/>
  <c r="B88" i="1" a="1"/>
  <c r="B88" i="1" s="1"/>
  <c r="Z33" i="1" l="1"/>
  <c r="Z31" i="1"/>
  <c r="Z29" i="1"/>
  <c r="Z27" i="1"/>
  <c r="Y32" i="1"/>
  <c r="X26" i="1"/>
  <c r="W28" i="1"/>
  <c r="Y33" i="1"/>
  <c r="Y31" i="1"/>
  <c r="Y29" i="1"/>
  <c r="Y27" i="1"/>
  <c r="Y30" i="1"/>
  <c r="X32" i="1"/>
  <c r="W32" i="1"/>
  <c r="X33" i="1"/>
  <c r="X31" i="1"/>
  <c r="X29" i="1"/>
  <c r="X27" i="1"/>
  <c r="Y28" i="1"/>
  <c r="X30" i="1"/>
  <c r="W30" i="1"/>
  <c r="W33" i="1"/>
  <c r="W31" i="1"/>
  <c r="W29" i="1"/>
  <c r="W27" i="1"/>
  <c r="Z32" i="1"/>
  <c r="Z30" i="1"/>
  <c r="Z28" i="1"/>
  <c r="Z26" i="1"/>
  <c r="Y26" i="1"/>
  <c r="X28" i="1"/>
  <c r="N26" i="1"/>
  <c r="W26" i="1" s="1"/>
  <c r="F87" i="1"/>
  <c r="E87" i="1"/>
  <c r="D87" i="1"/>
  <c r="C87" i="1"/>
  <c r="I87" i="1"/>
  <c r="H87" i="1"/>
  <c r="G87" i="1"/>
  <c r="B100" i="1" a="1"/>
  <c r="I99" i="1" s="1"/>
  <c r="B87" i="1"/>
  <c r="N17" i="1" l="1" a="1"/>
  <c r="H99" i="1"/>
  <c r="F99" i="1"/>
  <c r="G99" i="1"/>
  <c r="E99" i="1"/>
  <c r="D99" i="1"/>
  <c r="C99" i="1"/>
  <c r="B100" i="1"/>
  <c r="B99" i="1" s="1"/>
  <c r="AD24" i="1" l="1"/>
  <c r="AD23" i="1"/>
  <c r="AD22" i="1"/>
  <c r="AD21" i="1"/>
  <c r="AD20" i="1"/>
  <c r="AD19" i="1"/>
  <c r="AD18" i="1"/>
  <c r="AD17" i="1"/>
  <c r="W24" i="1"/>
  <c r="AC24" i="1"/>
  <c r="AC23" i="1"/>
  <c r="AC22" i="1"/>
  <c r="AC21" i="1"/>
  <c r="AC20" i="1"/>
  <c r="AC19" i="1"/>
  <c r="AC18" i="1"/>
  <c r="AC17" i="1"/>
  <c r="W21" i="1"/>
  <c r="AB24" i="1"/>
  <c r="AB23" i="1"/>
  <c r="AB22" i="1"/>
  <c r="AB21" i="1"/>
  <c r="AB20" i="1"/>
  <c r="AB19" i="1"/>
  <c r="AB18" i="1"/>
  <c r="AB17" i="1"/>
  <c r="W19" i="1"/>
  <c r="AA24" i="1"/>
  <c r="AA23" i="1"/>
  <c r="AA22" i="1"/>
  <c r="AA21" i="1"/>
  <c r="AA20" i="1"/>
  <c r="AA19" i="1"/>
  <c r="AA18" i="1"/>
  <c r="AA17" i="1"/>
  <c r="X22" i="1"/>
  <c r="X21" i="1"/>
  <c r="X18" i="1"/>
  <c r="W22" i="1"/>
  <c r="Z24" i="1"/>
  <c r="Z23" i="1"/>
  <c r="Z22" i="1"/>
  <c r="Z21" i="1"/>
  <c r="Z20" i="1"/>
  <c r="Z19" i="1"/>
  <c r="Z18" i="1"/>
  <c r="Z17" i="1"/>
  <c r="X23" i="1"/>
  <c r="X20" i="1"/>
  <c r="W23" i="1"/>
  <c r="Y24" i="1"/>
  <c r="Y23" i="1"/>
  <c r="Y22" i="1"/>
  <c r="Y21" i="1"/>
  <c r="Y20" i="1"/>
  <c r="Y19" i="1"/>
  <c r="Y18" i="1"/>
  <c r="Y17" i="1"/>
  <c r="X24" i="1"/>
  <c r="X19" i="1"/>
  <c r="X17" i="1"/>
  <c r="W20" i="1"/>
  <c r="W18" i="1"/>
  <c r="N17" i="1"/>
  <c r="W17" i="1" s="1"/>
  <c r="N8" i="1" a="1"/>
  <c r="W9" i="1" l="1"/>
  <c r="W10" i="1"/>
  <c r="W11" i="1"/>
  <c r="W12" i="1"/>
  <c r="W13" i="1"/>
  <c r="W14" i="1"/>
  <c r="W15" i="1"/>
  <c r="AA10" i="1"/>
  <c r="AA13" i="1"/>
  <c r="AA15" i="1"/>
  <c r="AB9" i="1"/>
  <c r="AB13" i="1"/>
  <c r="AC9" i="1"/>
  <c r="AC12" i="1"/>
  <c r="AC15" i="1"/>
  <c r="AD9" i="1"/>
  <c r="AD12" i="1"/>
  <c r="AD15" i="1"/>
  <c r="X9" i="1"/>
  <c r="X10" i="1"/>
  <c r="X11" i="1"/>
  <c r="X12" i="1"/>
  <c r="X13" i="1"/>
  <c r="X14" i="1"/>
  <c r="X15" i="1"/>
  <c r="Z15" i="1"/>
  <c r="AA11" i="1"/>
  <c r="AB11" i="1"/>
  <c r="AB15" i="1"/>
  <c r="AC11" i="1"/>
  <c r="AD11" i="1"/>
  <c r="AD14" i="1"/>
  <c r="Y9" i="1"/>
  <c r="Y10" i="1"/>
  <c r="Y11" i="1"/>
  <c r="Y12" i="1"/>
  <c r="Y13" i="1"/>
  <c r="Y14" i="1"/>
  <c r="Y15" i="1"/>
  <c r="Z14" i="1"/>
  <c r="AA9" i="1"/>
  <c r="AA12" i="1"/>
  <c r="AA14" i="1"/>
  <c r="AB10" i="1"/>
  <c r="AB14" i="1"/>
  <c r="AC10" i="1"/>
  <c r="AC13" i="1"/>
  <c r="AC14" i="1"/>
  <c r="AD10" i="1"/>
  <c r="AD13" i="1"/>
  <c r="Z9" i="1"/>
  <c r="Z10" i="1"/>
  <c r="Z11" i="1"/>
  <c r="Z12" i="1"/>
  <c r="Z13" i="1"/>
  <c r="AB12" i="1"/>
  <c r="X8" i="1"/>
  <c r="Y8" i="1"/>
  <c r="Z8" i="1"/>
  <c r="AA8" i="1"/>
  <c r="AB8" i="1"/>
  <c r="AC8" i="1"/>
  <c r="AD8" i="1"/>
  <c r="N8" i="1"/>
  <c r="W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matja</author>
  </authors>
  <commentList>
    <comment ref="B1" authorId="0" shapeId="0" xr:uid="{057BF246-005C-4AC9-B8C1-DB205F9448C1}">
      <text>
        <r>
          <rPr>
            <b/>
            <sz val="9"/>
            <color indexed="81"/>
            <rFont val="Tahoma"/>
            <family val="2"/>
            <charset val="238"/>
          </rPr>
          <t>matja:</t>
        </r>
        <r>
          <rPr>
            <sz val="9"/>
            <color indexed="81"/>
            <rFont val="Tahoma"/>
            <family val="2"/>
            <charset val="238"/>
          </rPr>
          <t xml:space="preserve">
Użyj F9 żeby odświeżyć formuły i wygenerować nowy input.</t>
        </r>
      </text>
    </comment>
    <comment ref="B3" authorId="0" shapeId="0" xr:uid="{719327DD-383D-4541-9301-28DE2E504844}">
      <text>
        <r>
          <rPr>
            <b/>
            <sz val="9"/>
            <color indexed="81"/>
            <rFont val="Tahoma"/>
            <family val="2"/>
            <charset val="238"/>
          </rPr>
          <t>matja:</t>
        </r>
        <r>
          <rPr>
            <sz val="9"/>
            <color indexed="81"/>
            <rFont val="Tahoma"/>
            <family val="2"/>
            <charset val="238"/>
          </rPr>
          <t xml:space="preserve">
Wiersz losowania -&gt; RANDBETWEEN wybiera mi nowe inputy</t>
        </r>
      </text>
    </comment>
    <comment ref="B4" authorId="0" shapeId="0" xr:uid="{C21721C4-E51B-4B80-BC52-14E1BAEAEFE1}">
      <text>
        <r>
          <rPr>
            <b/>
            <sz val="9"/>
            <color indexed="81"/>
            <rFont val="Tahoma"/>
            <family val="2"/>
            <charset val="238"/>
          </rPr>
          <t>matja:</t>
        </r>
        <r>
          <rPr>
            <sz val="9"/>
            <color indexed="81"/>
            <rFont val="Tahoma"/>
            <family val="2"/>
            <charset val="238"/>
          </rPr>
          <t xml:space="preserve">
Wiersz intepretacji -&gt; tutaj wiem, która cyfra stoi reprezentuje jaki stan.</t>
        </r>
      </text>
    </comment>
    <comment ref="B5" authorId="0" shapeId="0" xr:uid="{96272D88-C62E-4128-BD3A-335BB6028798}">
      <text>
        <r>
          <rPr>
            <b/>
            <sz val="9"/>
            <color indexed="81"/>
            <rFont val="Tahoma"/>
            <family val="2"/>
            <charset val="238"/>
          </rPr>
          <t>matja:</t>
        </r>
        <r>
          <rPr>
            <sz val="9"/>
            <color indexed="81"/>
            <rFont val="Tahoma"/>
            <family val="2"/>
            <charset val="238"/>
          </rPr>
          <t xml:space="preserve">
Zamiana moich etykiet na wartości binarne.
Kiedy używasz wartości liczbowych (np. 1, 2, 3) dla różnych kategorii (np. Young, Adult, Aged), model może błędnie interpretować te liczby jako mające hierarchię lub różnice w skali. Na przykład, model może założyć, że "Adult" jest "bardziej" niż "Young", co nie jest prawdą w kontekście kategorii.</t>
        </r>
      </text>
    </comment>
    <comment ref="B6" authorId="0" shapeId="0" xr:uid="{69406B68-23D9-4E85-AA24-9C2DE9EDADBD}">
      <text>
        <r>
          <rPr>
            <b/>
            <sz val="9"/>
            <color indexed="81"/>
            <rFont val="Tahoma"/>
            <family val="2"/>
            <charset val="238"/>
          </rPr>
          <t>matja:</t>
        </r>
        <r>
          <rPr>
            <sz val="9"/>
            <color indexed="81"/>
            <rFont val="Tahoma"/>
            <family val="2"/>
            <charset val="238"/>
          </rPr>
          <t xml:space="preserve">
Zamiana binarnego sygnału na skrajne wartości, które zwraca SIGMOID (funkcja aktywacji).
Jeśli używasz funkcji sigmoid jako funkcji aktywacji w ostatniej warstwie swojej sieci neuronowej, wyniki modelu są w przedziale (0,1). Odpowiednie wartości etykiet w zbiorze danych również powinny być w tym samym zakresie, aby model mógł efektywnie uczyć się i dostosowywać swoje wagi
Funkcja aktywacji jest kluczowym elementem w sieciach neuronowych, który decyduje o tym, czy dany neuron w sieci powinien zostać aktywowany, a tym samym przekazać sygnał dalej w sieci. Funkcja aktywacji przekształca wartość wejściową neuronu na wartość wyjściową, która jest następnie przekazywana do następnych neuronów lub wykorzystywana jako wynik końcowy modelu.</t>
        </r>
      </text>
    </comment>
    <comment ref="B7" authorId="0" shapeId="0" xr:uid="{B7B7F370-1AB8-4C20-BFDF-D93C0D240DC0}">
      <text>
        <r>
          <rPr>
            <b/>
            <sz val="9"/>
            <color indexed="81"/>
            <rFont val="Tahoma"/>
            <family val="2"/>
            <charset val="238"/>
          </rPr>
          <t>matja:</t>
        </r>
        <r>
          <rPr>
            <sz val="9"/>
            <color indexed="81"/>
            <rFont val="Tahoma"/>
            <family val="2"/>
            <charset val="238"/>
          </rPr>
          <t xml:space="preserve">
Warstwa wejściowa to pierwsza warstwa w sieci neuronowej, która przyjmuje surowe dane wejściowe. Nie wykonuje ona żadnych operacji przetwarzających dane, lecz jedynie przekazuje je dalej do kolejnych warstw.</t>
        </r>
      </text>
    </comment>
    <comment ref="B35" authorId="0" shapeId="0" xr:uid="{907546B9-08B5-4025-B7FC-56F5B464CF6B}">
      <text>
        <r>
          <rPr>
            <b/>
            <sz val="9"/>
            <color indexed="81"/>
            <rFont val="Tahoma"/>
            <family val="2"/>
            <charset val="238"/>
          </rPr>
          <t>matja:</t>
        </r>
        <r>
          <rPr>
            <sz val="9"/>
            <color indexed="81"/>
            <rFont val="Tahoma"/>
            <family val="2"/>
            <charset val="238"/>
          </rPr>
          <t xml:space="preserve">
Wyniki się zmieniają z kazdym odświeżeniem F9  -&gt; formuła mnoży macierz, która jest generowana losowo.</t>
        </r>
      </text>
    </comment>
    <comment ref="B36" authorId="0" shapeId="0" xr:uid="{F009BA39-3B48-4E3C-A1DA-DF5825503B99}">
      <text>
        <r>
          <rPr>
            <b/>
            <sz val="9"/>
            <color indexed="81"/>
            <rFont val="Tahoma"/>
            <family val="2"/>
            <charset val="238"/>
          </rPr>
          <t>matja:</t>
        </r>
        <r>
          <rPr>
            <sz val="9"/>
            <color indexed="81"/>
            <rFont val="Tahoma"/>
            <family val="2"/>
            <charset val="238"/>
          </rPr>
          <t xml:space="preserve">
Normalizacja wyniku mnożenia macierzy przez funkcję sigmoidalną.
Warto zauważyc że wszystko mieści się teraz od (0 do 1) przedziały są rozłączne.
Wynik z mnożenia macierzy jest wartością, która wejdzie jako agrument do kolejnego mnożenia macierzy. Tym razem będę mnożył tą macierz * hidden layer.</t>
        </r>
      </text>
    </comment>
    <comment ref="B50" authorId="0" shapeId="0" xr:uid="{6DE19B4A-F9D2-4066-904E-85310381B266}">
      <text>
        <r>
          <rPr>
            <b/>
            <sz val="9"/>
            <color indexed="81"/>
            <rFont val="Tahoma"/>
            <family val="2"/>
            <charset val="238"/>
          </rPr>
          <t>matja:</t>
        </r>
        <r>
          <rPr>
            <sz val="9"/>
            <color indexed="81"/>
            <rFont val="Tahoma"/>
            <family val="2"/>
            <charset val="238"/>
          </rPr>
          <t xml:space="preserve">
Po to, żeby umożliwić sieci uczenie się.</t>
        </r>
      </text>
    </comment>
    <comment ref="B54" authorId="0" shapeId="0" xr:uid="{3F1EBD51-C2E9-4605-AB7D-8FCC3B72EA50}">
      <text>
        <r>
          <rPr>
            <b/>
            <sz val="9"/>
            <color indexed="81"/>
            <rFont val="Tahoma"/>
            <family val="2"/>
            <charset val="238"/>
          </rPr>
          <t>matja:</t>
        </r>
        <r>
          <rPr>
            <sz val="9"/>
            <color indexed="81"/>
            <rFont val="Tahoma"/>
            <family val="2"/>
            <charset val="238"/>
          </rPr>
          <t xml:space="preserve">
Różnica między spodziewanym wynikiem a wynikiem uzyskanym przez sieć.
</t>
        </r>
      </text>
    </comment>
    <comment ref="B58" authorId="0" shapeId="0" xr:uid="{3CDA4D69-F807-4297-B4D9-3DC86720C19C}">
      <text>
        <r>
          <rPr>
            <b/>
            <sz val="9"/>
            <color indexed="81"/>
            <rFont val="Tahoma"/>
            <family val="2"/>
            <charset val="238"/>
          </rPr>
          <t>matja:</t>
        </r>
        <r>
          <rPr>
            <sz val="9"/>
            <color indexed="81"/>
            <rFont val="Tahoma"/>
            <family val="2"/>
            <charset val="238"/>
          </rPr>
          <t xml:space="preserve">
Normalized errors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<sst xmlns="http://schemas.openxmlformats.org/spreadsheetml/2006/main" count="81" uniqueCount="39">
  <si>
    <t>INPUT</t>
  </si>
  <si>
    <t>Gender</t>
  </si>
  <si>
    <t>Male</t>
  </si>
  <si>
    <t>Female</t>
  </si>
  <si>
    <t>Age</t>
  </si>
  <si>
    <t>Young</t>
  </si>
  <si>
    <t>Adult</t>
  </si>
  <si>
    <t>Aged</t>
  </si>
  <si>
    <t>Income</t>
  </si>
  <si>
    <t>Poor</t>
  </si>
  <si>
    <t>Normal</t>
  </si>
  <si>
    <t>Rich</t>
  </si>
  <si>
    <t>INPUT LAYER</t>
  </si>
  <si>
    <t>MNOŻENIE MACIERZY</t>
  </si>
  <si>
    <t>SIGMOID - FUNKCJA AKTYWACJI</t>
  </si>
  <si>
    <t>Mnożenie Macierzy (mój losowy input * input layer)</t>
  </si>
  <si>
    <t>Mnożenie Macierzy (wynik z poprzedniej macierzy * hidden layer)</t>
  </si>
  <si>
    <t>Mnożenie Macierzy (wynik z poprzedniej macierzy * output layer)</t>
  </si>
  <si>
    <t>Umbrela</t>
  </si>
  <si>
    <t>Headphones</t>
  </si>
  <si>
    <t>Cup</t>
  </si>
  <si>
    <t>Bracelet</t>
  </si>
  <si>
    <t>Recomended gift (based on max value from matrix):</t>
  </si>
  <si>
    <t>Correct recomendation (formula evaluation)</t>
  </si>
  <si>
    <t>Correct recomendation (binary)</t>
  </si>
  <si>
    <t>Partial Errors</t>
  </si>
  <si>
    <t>Total error</t>
  </si>
  <si>
    <t>Kolejny matrix (mnożę warstwę przed outputem ze znormalizowanymi błędami)</t>
  </si>
  <si>
    <t>Transpozycja output layera</t>
  </si>
  <si>
    <t>Mnożenie transponowanego output layera z nieznormalizowanymi błędami</t>
  </si>
  <si>
    <t>Transpozycja z wyniku mnożenia przez hidden layer</t>
  </si>
  <si>
    <t>Transpozycja wyniku z mnożenia przez input layer</t>
  </si>
  <si>
    <t>Mnożenie wyników z input layer * macierz (transponowany output layer * błędy znormalizowane)</t>
  </si>
  <si>
    <t>Transpozycja input layera</t>
  </si>
  <si>
    <t>Mnożenie tego input layera wyżej z 6 wierszem z dnaymi</t>
  </si>
  <si>
    <t>Lerning ratio</t>
  </si>
  <si>
    <t>Nowe wartości wag</t>
  </si>
  <si>
    <t>Output layer</t>
  </si>
  <si>
    <t>Inner Layer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</si>
</sst>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charset val="238"/>
      <scheme val="minor"/>
    </font>
    <font>
      <b/>
      <sz val="11"/>
      <color theme="1"/>
      <name val="Calibri"/>
      <family val="2"/>
      <charset val="238"/>
      <scheme val="minor"/>
    </font>
    <font>
      <sz val="11"/>
      <color theme="0"/>
      <name val="Calibri"/>
      <family val="2"/>
      <charset val="238"/>
      <scheme val="minor"/>
    </font>
    <font>
      <sz val="9"/>
      <color indexed="81"/>
      <name val="Tahoma"/>
      <family val="2"/>
      <charset val="238"/>
    </font>
    <font>
      <b/>
      <sz val="9"/>
      <color indexed="81"/>
      <name val="Tahoma"/>
      <family val="2"/>
      <charset val="238"/>
    </font>
    <font>
      <b/>
      <sz val="12"/>
      <color theme="0"/>
      <name val="Calibri"/>
      <family val="2"/>
      <charset val="238"/>
      <scheme val="minor"/>
    </font>
    <font>
      <b/>
      <i/>
      <sz val="11"/>
      <color theme="1"/>
      <name val="Calibri"/>
      <family val="2"/>
      <charset val="238"/>
      <scheme val="minor"/>
    </font>
    <font>
      <b/>
      <i/>
      <sz val="11"/>
      <color theme="0"/>
      <name val="Calibri"/>
      <family val="2"/>
      <charset val="238"/>
      <scheme val="minor"/>
    </font>
  </fonts>
  <fills count="9">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249977111117893"/>
        <bgColor indexed="64"/>
      </patternFill>
    </fill>
    <fill>
      <patternFill patternType="solid">
        <fgColor rgb="FFC00000"/>
        <bgColor indexed="64"/>
      </patternFill>
    </fill>
    <fill>
      <patternFill patternType="solid">
        <fgColor theme="9" tint="-0.249977111117893"/>
        <bgColor indexed="64"/>
      </patternFill>
    </fill>
    <fill>
      <patternFill patternType="solid">
        <fgColor theme="5" tint="-0.249977111117893"/>
        <bgColor indexed="64"/>
      </patternFill>
    </fill>
  </fills>
  <borders count="20">
    <border>
      <left/>
      <right/>
      <top/>
      <bottom/>
      <diagonal/>
    </border>
    <border>
      <left/>
      <right/>
      <top/>
      <bottom style="double">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thin">
        <color indexed="64"/>
      </right>
      <top/>
      <bottom/>
      <diagonal/>
    </border>
    <border>
      <left/>
      <right/>
      <top style="double">
        <color indexed="64"/>
      </top>
      <bottom/>
      <diagonal/>
    </border>
    <border>
      <left style="thin">
        <color theme="0"/>
      </left>
      <right/>
      <top style="double">
        <color indexed="64"/>
      </top>
      <bottom style="thin">
        <color indexed="64"/>
      </bottom>
      <diagonal/>
    </border>
    <border>
      <left/>
      <right/>
      <top style="double">
        <color indexed="64"/>
      </top>
      <bottom style="thin">
        <color indexed="64"/>
      </bottom>
      <diagonal/>
    </border>
    <border>
      <left/>
      <right/>
      <top style="medium">
        <color indexed="64"/>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s>
  <cellStyleXfs count="1">
    <xf numFmtId="0" fontId="0" fillId="0" borderId="0"/>
  </cellStyleXfs>
  <cellXfs count="37">
    <xf numFmtId="0" fontId="0" fillId="0" borderId="0" xfId="0"/>
    <xf numFmtId="0" fontId="0" fillId="0" borderId="1" xfId="0" applyBorder="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8" xfId="0" applyBorder="1"/>
    <xf numFmtId="0" fontId="0" fillId="0" borderId="7" xfId="0" applyBorder="1"/>
    <xf numFmtId="0" fontId="0" fillId="0" borderId="9" xfId="0" applyBorder="1"/>
    <xf numFmtId="0" fontId="0" fillId="2" borderId="7" xfId="0" applyFill="1" applyBorder="1"/>
    <xf numFmtId="0" fontId="0" fillId="3" borderId="7" xfId="0" applyFill="1" applyBorder="1"/>
    <xf numFmtId="0" fontId="0" fillId="4" borderId="7" xfId="0" applyFill="1" applyBorder="1"/>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6" fillId="0" borderId="1" xfId="0" applyFont="1" applyBorder="1"/>
    <xf numFmtId="0" fontId="0" fillId="0" borderId="13" xfId="0" applyBorder="1"/>
    <xf numFmtId="0" fontId="6" fillId="0" borderId="13" xfId="0" applyFont="1" applyBorder="1"/>
    <xf numFmtId="0" fontId="6" fillId="0" borderId="14" xfId="0" applyFont="1" applyBorder="1"/>
    <xf numFmtId="0" fontId="0" fillId="0" borderId="14" xfId="0" applyBorder="1"/>
    <xf numFmtId="0" fontId="6" fillId="0" borderId="0" xfId="0" applyFont="1" applyBorder="1"/>
    <xf numFmtId="0" fontId="7" fillId="6" borderId="13" xfId="0" applyFont="1" applyFill="1" applyBorder="1"/>
    <xf numFmtId="0" fontId="1" fillId="0" borderId="0" xfId="0" applyFont="1"/>
    <xf numFmtId="0" fontId="7" fillId="7" borderId="13" xfId="0" applyFont="1" applyFill="1" applyBorder="1"/>
    <xf numFmtId="0" fontId="7" fillId="7" borderId="8" xfId="0" applyFont="1" applyFill="1" applyBorder="1"/>
    <xf numFmtId="0" fontId="2" fillId="8" borderId="7" xfId="0" applyFont="1" applyFill="1" applyBorder="1"/>
    <xf numFmtId="0" fontId="1" fillId="0" borderId="0" xfId="0" applyFont="1" applyAlignment="1">
      <alignment wrapText="1"/>
    </xf>
    <xf numFmtId="0" fontId="1" fillId="0" borderId="0" xfId="0" applyFont="1" applyAlignment="1">
      <alignment horizontal="left" vertical="top" wrapText="1"/>
    </xf>
    <xf numFmtId="0" fontId="1" fillId="0" borderId="0" xfId="0" applyFont="1" applyAlignment="1">
      <alignment horizontal="left" vertical="top"/>
    </xf>
    <xf numFmtId="0" fontId="1" fillId="0" borderId="0" xfId="0" applyFont="1" applyAlignment="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cellXfs>
  <cellStyles count="1">
    <cellStyle name="Normalny" xfId="0" builtinId="0"/>
  </cellStyles>
  <dxfs count="8">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372597</xdr:colOff>
      <xdr:row>24</xdr:row>
      <xdr:rowOff>382680</xdr:rowOff>
    </xdr:from>
    <xdr:to>
      <xdr:col>9</xdr:col>
      <xdr:colOff>22413</xdr:colOff>
      <xdr:row>33</xdr:row>
      <xdr:rowOff>2241</xdr:rowOff>
    </xdr:to>
    <xdr:sp macro="" textlink="">
      <xdr:nvSpPr>
        <xdr:cNvPr id="3" name="pole tekstowe 2">
          <a:extLst>
            <a:ext uri="{FF2B5EF4-FFF2-40B4-BE49-F238E27FC236}">
              <a16:creationId xmlns:a16="http://schemas.microsoft.com/office/drawing/2014/main" id="{EA048A38-02B9-69AF-7F76-99F2FFACDA86}"/>
            </a:ext>
          </a:extLst>
        </xdr:cNvPr>
        <xdr:cNvSpPr txBox="1"/>
      </xdr:nvSpPr>
      <xdr:spPr>
        <a:xfrm>
          <a:off x="3700744" y="6142504"/>
          <a:ext cx="2070287" cy="17038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100"/>
            <a:t>Na samym początku (przed uczeniem) są to losowe wartości wygenerowane formułą -&gt; =(LOS()*(PIERWIASTEK(1/ILE.NIEPUSTYCH($B$6:$I$6))-0,01)+0,01)*JEŻELI(ZAOKR(LOS()*1;0)=1;1;-1)</a:t>
          </a:r>
        </a:p>
      </xdr:txBody>
    </xdr:sp>
    <xdr:clientData/>
  </xdr:twoCellAnchor>
  <xdr:twoCellAnchor>
    <xdr:from>
      <xdr:col>2</xdr:col>
      <xdr:colOff>461842</xdr:colOff>
      <xdr:row>6</xdr:row>
      <xdr:rowOff>122464</xdr:rowOff>
    </xdr:from>
    <xdr:to>
      <xdr:col>9</xdr:col>
      <xdr:colOff>114461</xdr:colOff>
      <xdr:row>6</xdr:row>
      <xdr:rowOff>625927</xdr:rowOff>
    </xdr:to>
    <xdr:sp macro="" textlink="">
      <xdr:nvSpPr>
        <xdr:cNvPr id="9" name="pole tekstowe 8">
          <a:extLst>
            <a:ext uri="{FF2B5EF4-FFF2-40B4-BE49-F238E27FC236}">
              <a16:creationId xmlns:a16="http://schemas.microsoft.com/office/drawing/2014/main" id="{71CCBBA4-39F3-438C-8FAC-4B8C3B998771}"/>
            </a:ext>
          </a:extLst>
        </xdr:cNvPr>
        <xdr:cNvSpPr txBox="1"/>
      </xdr:nvSpPr>
      <xdr:spPr>
        <a:xfrm>
          <a:off x="1727306" y="1809750"/>
          <a:ext cx="4170191" cy="5034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100"/>
            <a:t>Liczba kolumn w jednej macierzy musi się równać liczbie</a:t>
          </a:r>
          <a:r>
            <a:rPr lang="pl-PL" sz="1100" baseline="0"/>
            <a:t> wierszy w drugiej macierzy żeby wykonać MNOŻENIE MACIERZY.</a:t>
          </a:r>
          <a:endParaRPr lang="pl-PL" sz="1100"/>
        </a:p>
      </xdr:txBody>
    </xdr:sp>
    <xdr:clientData/>
  </xdr:twoCellAnchor>
  <xdr:twoCellAnchor>
    <xdr:from>
      <xdr:col>19</xdr:col>
      <xdr:colOff>9525</xdr:colOff>
      <xdr:row>0</xdr:row>
      <xdr:rowOff>28575</xdr:rowOff>
    </xdr:from>
    <xdr:to>
      <xdr:col>26</xdr:col>
      <xdr:colOff>390525</xdr:colOff>
      <xdr:row>5</xdr:row>
      <xdr:rowOff>142875</xdr:rowOff>
    </xdr:to>
    <xdr:sp macro="" textlink="">
      <xdr:nvSpPr>
        <xdr:cNvPr id="23" name="Prostokąt 22">
          <a:extLst>
            <a:ext uri="{FF2B5EF4-FFF2-40B4-BE49-F238E27FC236}">
              <a16:creationId xmlns:a16="http://schemas.microsoft.com/office/drawing/2014/main" id="{03AE390E-60AF-F5C6-AF8E-4A1AA5D0D14E}"/>
            </a:ext>
          </a:extLst>
        </xdr:cNvPr>
        <xdr:cNvSpPr/>
      </xdr:nvSpPr>
      <xdr:spPr>
        <a:xfrm>
          <a:off x="10953750" y="28575"/>
          <a:ext cx="4648200" cy="1609725"/>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solidFill>
                <a:srgbClr val="FF0000"/>
              </a:solidFill>
            </a:rPr>
            <a:t>PROBLEM</a:t>
          </a:r>
          <a:r>
            <a:rPr lang="pl-PL" sz="1100" b="1" baseline="0">
              <a:solidFill>
                <a:srgbClr val="FF0000"/>
              </a:solidFill>
            </a:rPr>
            <a:t> DO ROZWIĄZANIA:</a:t>
          </a:r>
        </a:p>
        <a:p>
          <a:pPr algn="l"/>
          <a:endParaRPr lang="pl-PL" sz="1100" b="1" baseline="0">
            <a:solidFill>
              <a:srgbClr val="FF0000"/>
            </a:solidFill>
          </a:endParaRPr>
        </a:p>
        <a:p>
          <a:pPr algn="l"/>
          <a:r>
            <a:rPr lang="pl-PL" sz="1100" b="0" baseline="0">
              <a:solidFill>
                <a:srgbClr val="FF0000"/>
              </a:solidFill>
            </a:rPr>
            <a:t>Bazując na tym jakiej płci jest użytkownik, ile ma lat oraz ile zarabia stwórz sieć neuronową, która pomoże w dopasowaniu do niego polecanego produktu.</a:t>
          </a:r>
        </a:p>
        <a:p>
          <a:pPr algn="l"/>
          <a:r>
            <a:rPr lang="pl-PL" sz="1100" b="0" baseline="0">
              <a:solidFill>
                <a:srgbClr val="FF0000"/>
              </a:solidFill>
            </a:rPr>
            <a:t>Są 4 produkty do dopasowania:</a:t>
          </a:r>
        </a:p>
        <a:p>
          <a:pPr algn="l"/>
          <a:r>
            <a:rPr lang="pl-PL" sz="1100" b="0" baseline="0">
              <a:solidFill>
                <a:srgbClr val="FF0000"/>
              </a:solidFill>
            </a:rPr>
            <a:t>- Parasol,</a:t>
          </a:r>
        </a:p>
        <a:p>
          <a:pPr algn="l"/>
          <a:r>
            <a:rPr lang="pl-PL" sz="1100" b="0" baseline="0">
              <a:solidFill>
                <a:srgbClr val="FF0000"/>
              </a:solidFill>
            </a:rPr>
            <a:t>- Kubek,</a:t>
          </a:r>
        </a:p>
        <a:p>
          <a:pPr algn="l"/>
          <a:r>
            <a:rPr lang="pl-PL" sz="1100" b="0" baseline="0">
              <a:solidFill>
                <a:srgbClr val="FF0000"/>
              </a:solidFill>
            </a:rPr>
            <a:t>- Bransoletka,</a:t>
          </a:r>
        </a:p>
        <a:p>
          <a:pPr algn="l"/>
          <a:r>
            <a:rPr lang="pl-PL" sz="1100" b="0" baseline="0">
              <a:solidFill>
                <a:srgbClr val="FF0000"/>
              </a:solidFill>
            </a:rPr>
            <a:t>- Słuchawki.</a:t>
          </a:r>
          <a:endParaRPr lang="pl-PL" sz="1100" b="0">
            <a:solidFill>
              <a:srgbClr val="FF0000"/>
            </a:solidFill>
          </a:endParaRPr>
        </a:p>
      </xdr:txBody>
    </xdr:sp>
    <xdr:clientData/>
  </xdr:twoCellAnchor>
  <xdr:twoCellAnchor>
    <xdr:from>
      <xdr:col>13</xdr:col>
      <xdr:colOff>291352</xdr:colOff>
      <xdr:row>0</xdr:row>
      <xdr:rowOff>403411</xdr:rowOff>
    </xdr:from>
    <xdr:to>
      <xdr:col>16</xdr:col>
      <xdr:colOff>414617</xdr:colOff>
      <xdr:row>3</xdr:row>
      <xdr:rowOff>179294</xdr:rowOff>
    </xdr:to>
    <xdr:sp macro="[0]!Makro2" textlink="">
      <xdr:nvSpPr>
        <xdr:cNvPr id="24" name="Prostokąt: zaokrąglone rogi 23">
          <a:extLst>
            <a:ext uri="{FF2B5EF4-FFF2-40B4-BE49-F238E27FC236}">
              <a16:creationId xmlns:a16="http://schemas.microsoft.com/office/drawing/2014/main" id="{E85A4836-C4F3-23D8-35DD-EA1AB0064044}"/>
            </a:ext>
          </a:extLst>
        </xdr:cNvPr>
        <xdr:cNvSpPr/>
      </xdr:nvSpPr>
      <xdr:spPr>
        <a:xfrm>
          <a:off x="9737911" y="403411"/>
          <a:ext cx="2207559" cy="88526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2000" b="1"/>
            <a:t>LEARN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9526</xdr:colOff>
      <xdr:row>11</xdr:row>
      <xdr:rowOff>28575</xdr:rowOff>
    </xdr:from>
    <xdr:to>
      <xdr:col>9</xdr:col>
      <xdr:colOff>28575</xdr:colOff>
      <xdr:row>46</xdr:row>
      <xdr:rowOff>123825</xdr:rowOff>
    </xdr:to>
    <xdr:sp macro="" textlink="">
      <xdr:nvSpPr>
        <xdr:cNvPr id="2" name="Prostokąt 1">
          <a:extLst>
            <a:ext uri="{FF2B5EF4-FFF2-40B4-BE49-F238E27FC236}">
              <a16:creationId xmlns:a16="http://schemas.microsoft.com/office/drawing/2014/main" id="{73D9D29E-44F7-4420-89F3-8613C5E1069E}"/>
            </a:ext>
          </a:extLst>
        </xdr:cNvPr>
        <xdr:cNvSpPr/>
      </xdr:nvSpPr>
      <xdr:spPr>
        <a:xfrm>
          <a:off x="9526" y="2124075"/>
          <a:ext cx="5505449" cy="6762750"/>
        </a:xfrm>
        <a:prstGeom prst="rect">
          <a:avLst/>
        </a:prstGeom>
        <a:noFill/>
        <a:ln w="38100">
          <a:solidFill>
            <a:schemeClr val="bg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l-PL" sz="1600" b="1" i="1">
            <a:solidFill>
              <a:srgbClr val="FF0000"/>
            </a:solidFill>
          </a:endParaRPr>
        </a:p>
      </xdr:txBody>
    </xdr:sp>
    <xdr:clientData/>
  </xdr:twoCellAnchor>
  <xdr:twoCellAnchor>
    <xdr:from>
      <xdr:col>0</xdr:col>
      <xdr:colOff>19050</xdr:colOff>
      <xdr:row>0</xdr:row>
      <xdr:rowOff>0</xdr:rowOff>
    </xdr:from>
    <xdr:to>
      <xdr:col>9</xdr:col>
      <xdr:colOff>38099</xdr:colOff>
      <xdr:row>10</xdr:row>
      <xdr:rowOff>85725</xdr:rowOff>
    </xdr:to>
    <xdr:sp macro="" textlink="">
      <xdr:nvSpPr>
        <xdr:cNvPr id="3" name="Prostokąt 2">
          <a:extLst>
            <a:ext uri="{FF2B5EF4-FFF2-40B4-BE49-F238E27FC236}">
              <a16:creationId xmlns:a16="http://schemas.microsoft.com/office/drawing/2014/main" id="{5FEC7BE6-C0E5-4EE7-A4A5-B3947F3F1060}"/>
            </a:ext>
          </a:extLst>
        </xdr:cNvPr>
        <xdr:cNvSpPr/>
      </xdr:nvSpPr>
      <xdr:spPr>
        <a:xfrm>
          <a:off x="19050" y="0"/>
          <a:ext cx="5505449" cy="1990725"/>
        </a:xfrm>
        <a:prstGeom prst="rect">
          <a:avLst/>
        </a:prstGeom>
        <a:noFill/>
        <a:ln w="381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l-PL" sz="1600" b="1" i="1">
            <a:solidFill>
              <a:srgbClr val="FF0000"/>
            </a:solidFill>
          </a:endParaRPr>
        </a:p>
      </xdr:txBody>
    </xdr:sp>
    <xdr:clientData/>
  </xdr:twoCellAnchor>
  <xdr:twoCellAnchor>
    <xdr:from>
      <xdr:col>0</xdr:col>
      <xdr:colOff>19050</xdr:colOff>
      <xdr:row>11</xdr:row>
      <xdr:rowOff>28575</xdr:rowOff>
    </xdr:from>
    <xdr:to>
      <xdr:col>9</xdr:col>
      <xdr:colOff>19050</xdr:colOff>
      <xdr:row>14</xdr:row>
      <xdr:rowOff>133350</xdr:rowOff>
    </xdr:to>
    <xdr:sp macro="" textlink="">
      <xdr:nvSpPr>
        <xdr:cNvPr id="4" name="Prostokąt 3">
          <a:extLst>
            <a:ext uri="{FF2B5EF4-FFF2-40B4-BE49-F238E27FC236}">
              <a16:creationId xmlns:a16="http://schemas.microsoft.com/office/drawing/2014/main" id="{F7AF402E-6645-431C-9979-1A89262D39DA}"/>
            </a:ext>
          </a:extLst>
        </xdr:cNvPr>
        <xdr:cNvSpPr/>
      </xdr:nvSpPr>
      <xdr:spPr>
        <a:xfrm>
          <a:off x="19050" y="2124075"/>
          <a:ext cx="5486400" cy="676275"/>
        </a:xfrm>
        <a:prstGeom prst="rect">
          <a:avLst/>
        </a:prstGeom>
        <a:solidFill>
          <a:schemeClr val="bg2">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1" i="1"/>
            <a:t>LAYERS</a:t>
          </a:r>
        </a:p>
      </xdr:txBody>
    </xdr:sp>
    <xdr:clientData/>
  </xdr:twoCellAnchor>
  <xdr:twoCellAnchor>
    <xdr:from>
      <xdr:col>0</xdr:col>
      <xdr:colOff>19050</xdr:colOff>
      <xdr:row>0</xdr:row>
      <xdr:rowOff>1</xdr:rowOff>
    </xdr:from>
    <xdr:to>
      <xdr:col>9</xdr:col>
      <xdr:colOff>38100</xdr:colOff>
      <xdr:row>2</xdr:row>
      <xdr:rowOff>133351</xdr:rowOff>
    </xdr:to>
    <xdr:sp macro="" textlink="">
      <xdr:nvSpPr>
        <xdr:cNvPr id="5" name="Prostokąt 4">
          <a:extLst>
            <a:ext uri="{FF2B5EF4-FFF2-40B4-BE49-F238E27FC236}">
              <a16:creationId xmlns:a16="http://schemas.microsoft.com/office/drawing/2014/main" id="{1DB4A542-A84C-4FF7-A2AF-062D56A0911F}"/>
            </a:ext>
          </a:extLst>
        </xdr:cNvPr>
        <xdr:cNvSpPr/>
      </xdr:nvSpPr>
      <xdr:spPr>
        <a:xfrm>
          <a:off x="19050" y="1"/>
          <a:ext cx="5505450" cy="514350"/>
        </a:xfrm>
        <a:prstGeom prst="rect">
          <a:avLst/>
        </a:prstGeom>
        <a:solidFill>
          <a:schemeClr val="tx2">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1" i="1"/>
            <a:t>RANDOM</a:t>
          </a:r>
          <a:r>
            <a:rPr lang="pl-PL" sz="1600" b="1" i="1" baseline="0"/>
            <a:t> INPUT</a:t>
          </a:r>
          <a:endParaRPr lang="pl-PL" sz="1600" b="1" i="1"/>
        </a:p>
      </xdr:txBody>
    </xdr:sp>
    <xdr:clientData/>
  </xdr:twoCellAnchor>
  <xdr:twoCellAnchor>
    <xdr:from>
      <xdr:col>0</xdr:col>
      <xdr:colOff>0</xdr:colOff>
      <xdr:row>47</xdr:row>
      <xdr:rowOff>133350</xdr:rowOff>
    </xdr:from>
    <xdr:to>
      <xdr:col>9</xdr:col>
      <xdr:colOff>0</xdr:colOff>
      <xdr:row>51</xdr:row>
      <xdr:rowOff>47625</xdr:rowOff>
    </xdr:to>
    <xdr:sp macro="" textlink="">
      <xdr:nvSpPr>
        <xdr:cNvPr id="6" name="Prostokąt 5">
          <a:extLst>
            <a:ext uri="{FF2B5EF4-FFF2-40B4-BE49-F238E27FC236}">
              <a16:creationId xmlns:a16="http://schemas.microsoft.com/office/drawing/2014/main" id="{BB5AF212-70FB-43C1-B81D-2079BCC27564}"/>
            </a:ext>
          </a:extLst>
        </xdr:cNvPr>
        <xdr:cNvSpPr/>
      </xdr:nvSpPr>
      <xdr:spPr>
        <a:xfrm>
          <a:off x="0" y="9086850"/>
          <a:ext cx="5486400" cy="676275"/>
        </a:xfrm>
        <a:prstGeom prst="rect">
          <a:avLst/>
        </a:prstGeom>
        <a:solidFill>
          <a:schemeClr val="accent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1" i="1"/>
            <a:t>CALCULATIONS</a:t>
          </a:r>
        </a:p>
      </xdr:txBody>
    </xdr:sp>
    <xdr:clientData/>
  </xdr:twoCellAnchor>
  <xdr:twoCellAnchor>
    <xdr:from>
      <xdr:col>0</xdr:col>
      <xdr:colOff>0</xdr:colOff>
      <xdr:row>47</xdr:row>
      <xdr:rowOff>142875</xdr:rowOff>
    </xdr:from>
    <xdr:to>
      <xdr:col>9</xdr:col>
      <xdr:colOff>19049</xdr:colOff>
      <xdr:row>71</xdr:row>
      <xdr:rowOff>66675</xdr:rowOff>
    </xdr:to>
    <xdr:sp macro="" textlink="">
      <xdr:nvSpPr>
        <xdr:cNvPr id="7" name="Prostokąt 6">
          <a:extLst>
            <a:ext uri="{FF2B5EF4-FFF2-40B4-BE49-F238E27FC236}">
              <a16:creationId xmlns:a16="http://schemas.microsoft.com/office/drawing/2014/main" id="{D0FF338C-3C5C-4166-A0EE-8894B5B4C490}"/>
            </a:ext>
          </a:extLst>
        </xdr:cNvPr>
        <xdr:cNvSpPr/>
      </xdr:nvSpPr>
      <xdr:spPr>
        <a:xfrm>
          <a:off x="0" y="9096375"/>
          <a:ext cx="5505449" cy="449580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l-PL" sz="1600" b="1" i="1">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38100</xdr:rowOff>
    </xdr:from>
    <xdr:to>
      <xdr:col>9</xdr:col>
      <xdr:colOff>86503</xdr:colOff>
      <xdr:row>35</xdr:row>
      <xdr:rowOff>172373</xdr:rowOff>
    </xdr:to>
    <xdr:pic>
      <xdr:nvPicPr>
        <xdr:cNvPr id="2" name="Obraz 1">
          <a:extLst>
            <a:ext uri="{FF2B5EF4-FFF2-40B4-BE49-F238E27FC236}">
              <a16:creationId xmlns:a16="http://schemas.microsoft.com/office/drawing/2014/main" id="{7E4BACD5-C553-F9F5-46B3-11AB11858645}"/>
            </a:ext>
          </a:extLst>
        </xdr:cNvPr>
        <xdr:cNvPicPr>
          <a:picLocks noChangeAspect="1"/>
        </xdr:cNvPicPr>
      </xdr:nvPicPr>
      <xdr:blipFill>
        <a:blip xmlns:r="http://schemas.openxmlformats.org/officeDocument/2006/relationships" r:embed="rId1"/>
        <a:stretch>
          <a:fillRect/>
        </a:stretch>
      </xdr:blipFill>
      <xdr:spPr>
        <a:xfrm>
          <a:off x="0" y="228600"/>
          <a:ext cx="5572903" cy="6611273"/>
        </a:xfrm>
        <a:prstGeom prst="rect">
          <a:avLst/>
        </a:prstGeom>
      </xdr:spPr>
    </xdr:pic>
    <xdr:clientData/>
  </xdr:twoCellAnchor>
  <xdr:twoCellAnchor editAs="oneCell">
    <xdr:from>
      <xdr:col>9</xdr:col>
      <xdr:colOff>323850</xdr:colOff>
      <xdr:row>1</xdr:row>
      <xdr:rowOff>161925</xdr:rowOff>
    </xdr:from>
    <xdr:to>
      <xdr:col>20</xdr:col>
      <xdr:colOff>267628</xdr:colOff>
      <xdr:row>33</xdr:row>
      <xdr:rowOff>105618</xdr:rowOff>
    </xdr:to>
    <xdr:pic>
      <xdr:nvPicPr>
        <xdr:cNvPr id="3" name="Obraz 2">
          <a:extLst>
            <a:ext uri="{FF2B5EF4-FFF2-40B4-BE49-F238E27FC236}">
              <a16:creationId xmlns:a16="http://schemas.microsoft.com/office/drawing/2014/main" id="{72A694F0-EFB4-36F1-BFAC-2B78CD5FCF7A}"/>
            </a:ext>
          </a:extLst>
        </xdr:cNvPr>
        <xdr:cNvPicPr>
          <a:picLocks noChangeAspect="1"/>
        </xdr:cNvPicPr>
      </xdr:nvPicPr>
      <xdr:blipFill>
        <a:blip xmlns:r="http://schemas.openxmlformats.org/officeDocument/2006/relationships" r:embed="rId2"/>
        <a:stretch>
          <a:fillRect/>
        </a:stretch>
      </xdr:blipFill>
      <xdr:spPr>
        <a:xfrm>
          <a:off x="5810250" y="352425"/>
          <a:ext cx="6649378" cy="6039693"/>
        </a:xfrm>
        <a:prstGeom prst="rect">
          <a:avLst/>
        </a:prstGeom>
      </xdr:spPr>
    </xdr:pic>
    <xdr:clientData/>
  </xdr:twoCellAnchor>
  <xdr:twoCellAnchor editAs="oneCell">
    <xdr:from>
      <xdr:col>9</xdr:col>
      <xdr:colOff>333375</xdr:colOff>
      <xdr:row>33</xdr:row>
      <xdr:rowOff>47625</xdr:rowOff>
    </xdr:from>
    <xdr:to>
      <xdr:col>20</xdr:col>
      <xdr:colOff>305732</xdr:colOff>
      <xdr:row>68</xdr:row>
      <xdr:rowOff>134293</xdr:rowOff>
    </xdr:to>
    <xdr:pic>
      <xdr:nvPicPr>
        <xdr:cNvPr id="4" name="Obraz 3">
          <a:extLst>
            <a:ext uri="{FF2B5EF4-FFF2-40B4-BE49-F238E27FC236}">
              <a16:creationId xmlns:a16="http://schemas.microsoft.com/office/drawing/2014/main" id="{DA6BFEF9-D970-3B57-7F21-3F98B3775A78}"/>
            </a:ext>
          </a:extLst>
        </xdr:cNvPr>
        <xdr:cNvPicPr>
          <a:picLocks noChangeAspect="1"/>
        </xdr:cNvPicPr>
      </xdr:nvPicPr>
      <xdr:blipFill>
        <a:blip xmlns:r="http://schemas.openxmlformats.org/officeDocument/2006/relationships" r:embed="rId3"/>
        <a:stretch>
          <a:fillRect/>
        </a:stretch>
      </xdr:blipFill>
      <xdr:spPr>
        <a:xfrm>
          <a:off x="5819775" y="6334125"/>
          <a:ext cx="6677957" cy="6754168"/>
        </a:xfrm>
        <a:prstGeom prst="rect">
          <a:avLst/>
        </a:prstGeom>
      </xdr:spPr>
    </xdr:pic>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3536F-1026-4693-A05E-A30C087738C4}">
  <sheetPr codeName="Arkusz1"/>
  <dimension ref="A1:AD100"/>
  <sheetViews>
    <sheetView tabSelected="1" zoomScale="80" zoomScaleNormal="80" workbookViewId="0">
      <pane ySplit="6" topLeftCell="A7" activePane="bottomLeft" state="frozen"/>
      <selection pane="bottomLeft" activeCell="L16" sqref="L16"/>
    </sheetView>
  </sheetViews>
  <sheetFormatPr defaultRowHeight="15" x14ac:dyDescent="0.25"/>
  <cols>
    <col min="1" max="1" width="10" bestFit="1" customWidth="1"/>
    <col min="2" max="2" width="9.85546875" bestFit="1" customWidth="1"/>
    <col min="3" max="3" width="12.7109375" bestFit="1" customWidth="1"/>
    <col min="10" max="11" width="5" customWidth="1"/>
    <col min="12" max="12" width="37.85546875" customWidth="1"/>
    <col min="13" max="13" width="7.5703125" customWidth="1"/>
    <col min="14" max="14" width="13.140625" bestFit="1" customWidth="1"/>
    <col min="23" max="23" width="13.140625" bestFit="1" customWidth="1"/>
  </cols>
  <sheetData>
    <row r="1" spans="1:30" ht="33" customHeight="1" thickBot="1" x14ac:dyDescent="0.3">
      <c r="A1">
        <f ca="1">IF(C45=C48,1,0)</f>
        <v>0</v>
      </c>
      <c r="B1" s="17" t="s">
        <v>0</v>
      </c>
      <c r="C1" s="1"/>
      <c r="D1" s="1"/>
      <c r="E1" s="1"/>
      <c r="F1" s="1"/>
      <c r="G1" s="1"/>
      <c r="H1" s="1"/>
      <c r="I1" s="1"/>
    </row>
    <row r="2" spans="1:30" ht="39.75" customHeight="1" thickTop="1" x14ac:dyDescent="0.25">
      <c r="A2">
        <v>436</v>
      </c>
      <c r="B2" s="14" t="s">
        <v>1</v>
      </c>
      <c r="C2" s="14"/>
      <c r="D2" s="15" t="s">
        <v>4</v>
      </c>
      <c r="E2" s="16"/>
      <c r="F2" s="16"/>
      <c r="G2" s="15" t="s">
        <v>8</v>
      </c>
      <c r="H2" s="16"/>
      <c r="I2" s="16"/>
      <c r="L2" s="27" t="s">
        <v>26</v>
      </c>
    </row>
    <row r="3" spans="1:30" x14ac:dyDescent="0.25">
      <c r="B3" s="9">
        <f ca="1">RANDBETWEEN(1,2)</f>
        <v>1</v>
      </c>
      <c r="C3" s="11" t="str">
        <f ca="1">CHOOSE(B3,B4,C4)</f>
        <v>Male</v>
      </c>
      <c r="D3" s="9">
        <f ca="1">RANDBETWEEN(1,3)</f>
        <v>1</v>
      </c>
      <c r="E3" s="12" t="str">
        <f ca="1">CHOOSE(D3,D4,E4,F4)</f>
        <v>Young</v>
      </c>
      <c r="F3" s="9"/>
      <c r="G3" s="9">
        <f ca="1">RANDBETWEEN(1,3)</f>
        <v>2</v>
      </c>
      <c r="H3" s="13" t="str">
        <f ca="1">CHOOSE(G3,G4,H4,I4)</f>
        <v>Normal</v>
      </c>
      <c r="I3" s="9"/>
      <c r="L3" s="9">
        <f ca="1">SUMPRODUCT(B56:E56,B56:E56)</f>
        <v>0.686533239630576</v>
      </c>
    </row>
    <row r="4" spans="1:30" x14ac:dyDescent="0.25">
      <c r="B4" s="9" t="s">
        <v>2</v>
      </c>
      <c r="C4" s="9" t="s">
        <v>3</v>
      </c>
      <c r="D4" s="9" t="s">
        <v>5</v>
      </c>
      <c r="E4" s="9" t="s">
        <v>6</v>
      </c>
      <c r="F4" s="9" t="s">
        <v>7</v>
      </c>
      <c r="G4" s="9" t="s">
        <v>9</v>
      </c>
      <c r="H4" s="9" t="s">
        <v>10</v>
      </c>
      <c r="I4" s="9" t="s">
        <v>11</v>
      </c>
      <c r="L4" t="s">
        <v>35</v>
      </c>
    </row>
    <row r="5" spans="1:30" x14ac:dyDescent="0.25">
      <c r="B5" s="9" t="str">
        <f ca="1">IF($C$3=B4,"YES","NO")</f>
        <v>YES</v>
      </c>
      <c r="C5" s="9" t="str">
        <f t="shared" ref="C5:E5" ca="1" si="0">IF($C$3=C4,"YES","NO")</f>
        <v>NO</v>
      </c>
      <c r="D5" s="9" t="str">
        <f ca="1">IF($E$3=D4,"YES","NO")</f>
        <v>YES</v>
      </c>
      <c r="E5" s="9" t="str">
        <f t="shared" ref="E5:F5" ca="1" si="1">IF($E$3=E4,"YES","NO")</f>
        <v>NO</v>
      </c>
      <c r="F5" s="9" t="str">
        <f ca="1">IF($H$3=F4,"YES","NO")</f>
        <v>NO</v>
      </c>
      <c r="G5" s="9" t="str">
        <f t="shared" ref="G5:I5" ca="1" si="2">IF($H$3=G4,"YES","NO")</f>
        <v>NO</v>
      </c>
      <c r="H5" s="9" t="str">
        <f t="shared" ca="1" si="2"/>
        <v>YES</v>
      </c>
      <c r="I5" s="9" t="str">
        <f t="shared" ca="1" si="2"/>
        <v>NO</v>
      </c>
      <c r="L5">
        <v>0.3</v>
      </c>
    </row>
    <row r="6" spans="1:30" x14ac:dyDescent="0.25">
      <c r="B6" s="9">
        <f ca="1">IF(B5="YES",0.99,0.01)</f>
        <v>0.99</v>
      </c>
      <c r="C6" s="9">
        <f ca="1">IF(C5="YES",0.99,0.01)</f>
        <v>0.01</v>
      </c>
      <c r="D6" s="9">
        <f ca="1">IF(D5="YES",0.99,0.01)</f>
        <v>0.99</v>
      </c>
      <c r="E6" s="9">
        <f ca="1">IF(E5="YES",0.99,0.01)</f>
        <v>0.01</v>
      </c>
      <c r="F6" s="9">
        <f ca="1">IF(F5="YES",0.99,0.01)</f>
        <v>0.01</v>
      </c>
      <c r="G6" s="9">
        <f ca="1">IF(G5="YES",0.99,0.01)</f>
        <v>0.01</v>
      </c>
      <c r="H6" s="9">
        <f ca="1">IF(H5="YES",0.99,0.01)</f>
        <v>0.99</v>
      </c>
      <c r="I6" s="9">
        <f ca="1">IF(I5="YES",0.99,0.01)</f>
        <v>0.01</v>
      </c>
    </row>
    <row r="7" spans="1:30" ht="56.25" customHeight="1" x14ac:dyDescent="0.25">
      <c r="B7" s="20" t="s">
        <v>12</v>
      </c>
      <c r="C7" s="21"/>
      <c r="D7" s="21"/>
      <c r="E7" s="21"/>
      <c r="F7" s="21"/>
      <c r="G7" s="21"/>
      <c r="H7" s="21"/>
      <c r="I7" s="21"/>
      <c r="W7" t="s">
        <v>36</v>
      </c>
    </row>
    <row r="8" spans="1:30" x14ac:dyDescent="0.25">
      <c r="B8" s="32">
        <v>3596308288.0303478</v>
      </c>
      <c r="C8" s="21">
        <v>112104109.1490982</v>
      </c>
      <c r="D8" s="21">
        <v>-281533312.77486974</v>
      </c>
      <c r="E8" s="21">
        <v>240908692.1399112</v>
      </c>
      <c r="F8" s="21">
        <v>15766655.709012851</v>
      </c>
      <c r="G8" s="21">
        <v>2313897589.2327523</v>
      </c>
      <c r="H8" s="21">
        <v>1852282143.345588</v>
      </c>
      <c r="I8" s="33">
        <v>-2893440808.1612306</v>
      </c>
      <c r="L8" cm="1">
        <f t="array" aca="1" ref="L8:L15" ca="1">TRANSPOSE(B6:I6)</f>
        <v>0.99</v>
      </c>
      <c r="N8" cm="1">
        <f t="array" aca="1" ref="N8:U15" ca="1">MMULT(_xlfn.ANCHORARRAY(L8),$B$99:$I$99)</f>
        <v>901469246.41266799</v>
      </c>
      <c r="O8">
        <f ca="1"/>
        <v>-10468724.591184681</v>
      </c>
      <c r="P8">
        <f ca="1"/>
        <v>-136918658.91117746</v>
      </c>
      <c r="Q8">
        <f ca="1"/>
        <v>686291450.77146697</v>
      </c>
      <c r="R8">
        <f ca="1"/>
        <v>2112610.8382715629</v>
      </c>
      <c r="S8">
        <f ca="1"/>
        <v>39434546.755291879</v>
      </c>
      <c r="T8">
        <f ca="1"/>
        <v>329677977.42520016</v>
      </c>
      <c r="U8">
        <f ca="1"/>
        <v>-5096160.1469826354</v>
      </c>
      <c r="W8">
        <f ca="1">B8+N8*$L$5</f>
        <v>3866749061.9541483</v>
      </c>
      <c r="X8">
        <f t="shared" ref="X8:AD8" ca="1" si="3">C8+O8*$L$5</f>
        <v>108963491.77174279</v>
      </c>
      <c r="Y8">
        <f t="shared" ca="1" si="3"/>
        <v>-322608910.44822299</v>
      </c>
      <c r="Z8">
        <f t="shared" ca="1" si="3"/>
        <v>446796127.3713513</v>
      </c>
      <c r="AA8">
        <f t="shared" ca="1" si="3"/>
        <v>16400438.960494321</v>
      </c>
      <c r="AB8">
        <f t="shared" ca="1" si="3"/>
        <v>2325727953.2593398</v>
      </c>
      <c r="AC8">
        <f t="shared" ca="1" si="3"/>
        <v>1951185536.573148</v>
      </c>
      <c r="AD8">
        <f t="shared" ca="1" si="3"/>
        <v>-2894969656.2053251</v>
      </c>
    </row>
    <row r="9" spans="1:30" x14ac:dyDescent="0.25">
      <c r="B9" s="34">
        <v>-1299805364.1674309</v>
      </c>
      <c r="C9" s="2">
        <v>-370712557.28637189</v>
      </c>
      <c r="D9" s="2">
        <v>246727329.54146707</v>
      </c>
      <c r="E9" s="2">
        <v>-799090831.58109093</v>
      </c>
      <c r="F9" s="2">
        <v>-13091377.803210102</v>
      </c>
      <c r="G9" s="2">
        <v>-2015821754.4927025</v>
      </c>
      <c r="H9" s="2">
        <v>-1918149055.4937205</v>
      </c>
      <c r="I9" s="10">
        <v>33039589.911983274</v>
      </c>
      <c r="L9">
        <f ca="1"/>
        <v>0.01</v>
      </c>
      <c r="N9">
        <f ca="1"/>
        <v>9105749.9637643229</v>
      </c>
      <c r="O9">
        <f ca="1"/>
        <v>-105744.69284024932</v>
      </c>
      <c r="P9">
        <f ca="1"/>
        <v>-1383016.7566785601</v>
      </c>
      <c r="Q9">
        <f ca="1"/>
        <v>6932236.8764794646</v>
      </c>
      <c r="R9">
        <f ca="1"/>
        <v>21339.503416884476</v>
      </c>
      <c r="S9">
        <f ca="1"/>
        <v>398328.75510395842</v>
      </c>
      <c r="T9">
        <f ca="1"/>
        <v>3330080.5800525271</v>
      </c>
      <c r="U9">
        <f ca="1"/>
        <v>-51476.365121036724</v>
      </c>
      <c r="W9">
        <f t="shared" ref="W9:W15" ca="1" si="4">B9+N9*$L$5</f>
        <v>-1297073639.1783016</v>
      </c>
      <c r="X9">
        <f t="shared" ref="X9:X15" ca="1" si="5">C9+O9*$L$5</f>
        <v>-370744280.69422394</v>
      </c>
      <c r="Y9">
        <f t="shared" ref="Y9:Y15" ca="1" si="6">D9+P9*$L$5</f>
        <v>246312424.51446351</v>
      </c>
      <c r="Z9">
        <f t="shared" ref="Z9:Z15" ca="1" si="7">E9+Q9*$L$5</f>
        <v>-797011160.51814711</v>
      </c>
      <c r="AA9">
        <f t="shared" ref="AA9:AA15" ca="1" si="8">F9+R9*$L$5</f>
        <v>-13084975.952185037</v>
      </c>
      <c r="AB9">
        <f t="shared" ref="AB9:AB15" ca="1" si="9">G9+S9*$L$5</f>
        <v>-2015702255.8661714</v>
      </c>
      <c r="AC9">
        <f t="shared" ref="AC9:AC15" ca="1" si="10">H9+T9*$L$5</f>
        <v>-1917150031.3197048</v>
      </c>
      <c r="AD9">
        <f t="shared" ref="AD9:AD15" ca="1" si="11">I9+U9*$L$5</f>
        <v>33024147.002446964</v>
      </c>
    </row>
    <row r="10" spans="1:30" x14ac:dyDescent="0.25">
      <c r="B10" s="34">
        <v>4386123113.196147</v>
      </c>
      <c r="C10" s="2">
        <v>-501897735.75150818</v>
      </c>
      <c r="D10" s="2">
        <v>-650980545.29918969</v>
      </c>
      <c r="E10" s="2">
        <v>1738074914.5883939</v>
      </c>
      <c r="F10" s="2">
        <v>21171854.177725051</v>
      </c>
      <c r="G10" s="2">
        <v>-1575129602.9847398</v>
      </c>
      <c r="H10" s="2">
        <v>1768924576.970449</v>
      </c>
      <c r="I10" s="10">
        <v>-227456581.20689812</v>
      </c>
      <c r="L10">
        <f ca="1"/>
        <v>0.99</v>
      </c>
      <c r="N10">
        <f ca="1"/>
        <v>901469246.41266799</v>
      </c>
      <c r="O10">
        <f ca="1"/>
        <v>-10468724.591184681</v>
      </c>
      <c r="P10">
        <f ca="1"/>
        <v>-136918658.91117746</v>
      </c>
      <c r="Q10">
        <f ca="1"/>
        <v>686291450.77146697</v>
      </c>
      <c r="R10">
        <f ca="1"/>
        <v>2112610.8382715629</v>
      </c>
      <c r="S10">
        <f ca="1"/>
        <v>39434546.755291879</v>
      </c>
      <c r="T10">
        <f ca="1"/>
        <v>329677977.42520016</v>
      </c>
      <c r="U10">
        <f ca="1"/>
        <v>-5096160.1469826354</v>
      </c>
      <c r="W10">
        <f t="shared" ca="1" si="4"/>
        <v>4656563887.1199474</v>
      </c>
      <c r="X10">
        <f t="shared" ca="1" si="5"/>
        <v>-505038353.12886357</v>
      </c>
      <c r="Y10">
        <f t="shared" ca="1" si="6"/>
        <v>-692056142.97254288</v>
      </c>
      <c r="Z10">
        <f t="shared" ca="1" si="7"/>
        <v>1943962349.819834</v>
      </c>
      <c r="AA10">
        <f t="shared" ca="1" si="8"/>
        <v>21805637.42920652</v>
      </c>
      <c r="AB10">
        <f t="shared" ca="1" si="9"/>
        <v>-1563299238.9581523</v>
      </c>
      <c r="AC10">
        <f t="shared" ca="1" si="10"/>
        <v>1867827970.198009</v>
      </c>
      <c r="AD10">
        <f t="shared" ca="1" si="11"/>
        <v>-228985429.25099292</v>
      </c>
    </row>
    <row r="11" spans="1:30" x14ac:dyDescent="0.25">
      <c r="B11" s="34">
        <v>651353194.93030143</v>
      </c>
      <c r="C11" s="2">
        <v>42515366.784881726</v>
      </c>
      <c r="D11" s="2">
        <v>-268245516.07323208</v>
      </c>
      <c r="E11" s="2">
        <v>-1019595884.7648736</v>
      </c>
      <c r="F11" s="2">
        <v>-577575.66429607314</v>
      </c>
      <c r="G11" s="2">
        <v>1439055098.4499521</v>
      </c>
      <c r="H11" s="2">
        <v>330111604.79160613</v>
      </c>
      <c r="I11" s="10">
        <v>-2240680274.6692219</v>
      </c>
      <c r="L11">
        <f ca="1"/>
        <v>0.01</v>
      </c>
      <c r="N11">
        <f ca="1"/>
        <v>9105749.9637643229</v>
      </c>
      <c r="O11">
        <f ca="1"/>
        <v>-105744.69284024932</v>
      </c>
      <c r="P11">
        <f ca="1"/>
        <v>-1383016.7566785601</v>
      </c>
      <c r="Q11">
        <f ca="1"/>
        <v>6932236.8764794646</v>
      </c>
      <c r="R11">
        <f ca="1"/>
        <v>21339.503416884476</v>
      </c>
      <c r="S11">
        <f ca="1"/>
        <v>398328.75510395842</v>
      </c>
      <c r="T11">
        <f ca="1"/>
        <v>3330080.5800525271</v>
      </c>
      <c r="U11">
        <f ca="1"/>
        <v>-51476.365121036724</v>
      </c>
      <c r="W11">
        <f t="shared" ca="1" si="4"/>
        <v>654084919.91943073</v>
      </c>
      <c r="X11">
        <f t="shared" ca="1" si="5"/>
        <v>42483643.37702965</v>
      </c>
      <c r="Y11">
        <f t="shared" ca="1" si="6"/>
        <v>-268660421.10023564</v>
      </c>
      <c r="Z11">
        <f t="shared" ca="1" si="7"/>
        <v>-1017516213.7019298</v>
      </c>
      <c r="AA11">
        <f t="shared" ca="1" si="8"/>
        <v>-571173.81327100785</v>
      </c>
      <c r="AB11">
        <f t="shared" ca="1" si="9"/>
        <v>1439174597.0764832</v>
      </c>
      <c r="AC11">
        <f t="shared" ca="1" si="10"/>
        <v>331110628.96562189</v>
      </c>
      <c r="AD11">
        <f t="shared" ca="1" si="11"/>
        <v>-2240695717.5787582</v>
      </c>
    </row>
    <row r="12" spans="1:30" x14ac:dyDescent="0.25">
      <c r="B12" s="34">
        <v>22965029.008394428</v>
      </c>
      <c r="C12" s="2">
        <v>-2586084.758991607</v>
      </c>
      <c r="D12" s="2">
        <v>-348059.48458688078</v>
      </c>
      <c r="E12" s="2">
        <v>-5581821.6063364716</v>
      </c>
      <c r="F12" s="2">
        <v>26752.695706268394</v>
      </c>
      <c r="G12" s="2">
        <v>2980758.0850737542</v>
      </c>
      <c r="H12" s="2">
        <v>-658669.25099105295</v>
      </c>
      <c r="I12" s="10">
        <v>-28604011.894179001</v>
      </c>
      <c r="L12">
        <f ca="1"/>
        <v>0.01</v>
      </c>
      <c r="N12">
        <f ca="1"/>
        <v>9105749.9637643229</v>
      </c>
      <c r="O12">
        <f ca="1"/>
        <v>-105744.69284024932</v>
      </c>
      <c r="P12">
        <f ca="1"/>
        <v>-1383016.7566785601</v>
      </c>
      <c r="Q12">
        <f ca="1"/>
        <v>6932236.8764794646</v>
      </c>
      <c r="R12">
        <f ca="1"/>
        <v>21339.503416884476</v>
      </c>
      <c r="S12">
        <f ca="1"/>
        <v>398328.75510395842</v>
      </c>
      <c r="T12">
        <f ca="1"/>
        <v>3330080.5800525271</v>
      </c>
      <c r="U12">
        <f ca="1"/>
        <v>-51476.365121036724</v>
      </c>
      <c r="W12">
        <f t="shared" ca="1" si="4"/>
        <v>25696753.997523725</v>
      </c>
      <c r="X12">
        <f t="shared" ca="1" si="5"/>
        <v>-2617808.1668436816</v>
      </c>
      <c r="Y12">
        <f t="shared" ca="1" si="6"/>
        <v>-762964.51159044879</v>
      </c>
      <c r="Z12">
        <f t="shared" ca="1" si="7"/>
        <v>-3502150.5433926322</v>
      </c>
      <c r="AA12">
        <f t="shared" ca="1" si="8"/>
        <v>33154.546731333736</v>
      </c>
      <c r="AB12">
        <f t="shared" ca="1" si="9"/>
        <v>3100256.7116049416</v>
      </c>
      <c r="AC12">
        <f t="shared" ca="1" si="10"/>
        <v>340354.92302470515</v>
      </c>
      <c r="AD12">
        <f t="shared" ca="1" si="11"/>
        <v>-28619454.803715311</v>
      </c>
    </row>
    <row r="13" spans="1:30" x14ac:dyDescent="0.25">
      <c r="B13" s="34">
        <v>897305884.78567696</v>
      </c>
      <c r="C13" s="2">
        <v>-446866775.5895052</v>
      </c>
      <c r="D13" s="2">
        <v>61836712.966391355</v>
      </c>
      <c r="E13" s="2">
        <v>-636557206.28465295</v>
      </c>
      <c r="F13" s="2">
        <v>-1222320.1210906482</v>
      </c>
      <c r="G13" s="2">
        <v>-112714283.52439062</v>
      </c>
      <c r="H13" s="2">
        <v>-2345569390.8912868</v>
      </c>
      <c r="I13" s="10">
        <v>-315452639.08455288</v>
      </c>
      <c r="L13">
        <f ca="1"/>
        <v>0.01</v>
      </c>
      <c r="N13">
        <f ca="1"/>
        <v>9105749.9637643229</v>
      </c>
      <c r="O13">
        <f ca="1"/>
        <v>-105744.69284024932</v>
      </c>
      <c r="P13">
        <f ca="1"/>
        <v>-1383016.7566785601</v>
      </c>
      <c r="Q13">
        <f ca="1"/>
        <v>6932236.8764794646</v>
      </c>
      <c r="R13">
        <f ca="1"/>
        <v>21339.503416884476</v>
      </c>
      <c r="S13">
        <f ca="1"/>
        <v>398328.75510395842</v>
      </c>
      <c r="T13">
        <f ca="1"/>
        <v>3330080.5800525271</v>
      </c>
      <c r="U13">
        <f ca="1"/>
        <v>-51476.365121036724</v>
      </c>
      <c r="W13">
        <f t="shared" ca="1" si="4"/>
        <v>900037609.77480626</v>
      </c>
      <c r="X13">
        <f t="shared" ca="1" si="5"/>
        <v>-446898498.99735725</v>
      </c>
      <c r="Y13">
        <f t="shared" ca="1" si="6"/>
        <v>61421807.939387783</v>
      </c>
      <c r="Z13">
        <f t="shared" ca="1" si="7"/>
        <v>-634477535.22170913</v>
      </c>
      <c r="AA13">
        <f t="shared" ca="1" si="8"/>
        <v>-1215918.2700655828</v>
      </c>
      <c r="AB13">
        <f t="shared" ca="1" si="9"/>
        <v>-112594784.89785944</v>
      </c>
      <c r="AC13">
        <f t="shared" ca="1" si="10"/>
        <v>-2344570366.7172713</v>
      </c>
      <c r="AD13">
        <f t="shared" ca="1" si="11"/>
        <v>-315468081.99408919</v>
      </c>
    </row>
    <row r="14" spans="1:30" x14ac:dyDescent="0.25">
      <c r="B14" s="34">
        <v>1620113395.3243217</v>
      </c>
      <c r="C14" s="2">
        <v>258696263.56457311</v>
      </c>
      <c r="D14" s="2">
        <v>82671102.217900023</v>
      </c>
      <c r="E14" s="2">
        <v>1655634057.6269898</v>
      </c>
      <c r="F14" s="2">
        <v>29304071.821990363</v>
      </c>
      <c r="G14" s="2">
        <v>3437664970.0247865</v>
      </c>
      <c r="H14" s="2">
        <v>1604803566.0840061</v>
      </c>
      <c r="I14" s="10">
        <v>-2672447147.8354821</v>
      </c>
      <c r="L14">
        <f ca="1"/>
        <v>0.99</v>
      </c>
      <c r="N14">
        <f ca="1"/>
        <v>901469246.41266799</v>
      </c>
      <c r="O14">
        <f ca="1"/>
        <v>-10468724.591184681</v>
      </c>
      <c r="P14">
        <f ca="1"/>
        <v>-136918658.91117746</v>
      </c>
      <c r="Q14">
        <f ca="1"/>
        <v>686291450.77146697</v>
      </c>
      <c r="R14">
        <f ca="1"/>
        <v>2112610.8382715629</v>
      </c>
      <c r="S14">
        <f ca="1"/>
        <v>39434546.755291879</v>
      </c>
      <c r="T14">
        <f ca="1"/>
        <v>329677977.42520016</v>
      </c>
      <c r="U14">
        <f ca="1"/>
        <v>-5096160.1469826354</v>
      </c>
      <c r="W14">
        <f t="shared" ca="1" si="4"/>
        <v>1890554169.2481222</v>
      </c>
      <c r="X14">
        <f t="shared" ca="1" si="5"/>
        <v>255555646.18721771</v>
      </c>
      <c r="Y14">
        <f t="shared" ca="1" si="6"/>
        <v>41595504.54454679</v>
      </c>
      <c r="Z14">
        <f t="shared" ca="1" si="7"/>
        <v>1861521492.8584299</v>
      </c>
      <c r="AA14">
        <f t="shared" ca="1" si="8"/>
        <v>29937855.073471833</v>
      </c>
      <c r="AB14">
        <f t="shared" ca="1" si="9"/>
        <v>3449495334.051374</v>
      </c>
      <c r="AC14">
        <f t="shared" ca="1" si="10"/>
        <v>1703706959.3115661</v>
      </c>
      <c r="AD14">
        <f t="shared" ca="1" si="11"/>
        <v>-2673975995.8795767</v>
      </c>
    </row>
    <row r="15" spans="1:30" ht="15.75" thickBot="1" x14ac:dyDescent="0.3">
      <c r="B15" s="35">
        <v>-197951326.94822013</v>
      </c>
      <c r="C15" s="7">
        <v>-73024020.406853944</v>
      </c>
      <c r="D15" s="7">
        <v>-179661857.66811639</v>
      </c>
      <c r="E15" s="7">
        <v>-1582840811.4779093</v>
      </c>
      <c r="F15" s="7">
        <v>-25379721.075229663</v>
      </c>
      <c r="G15" s="7">
        <v>-3023894094.2118731</v>
      </c>
      <c r="H15" s="7">
        <v>674240243.8779881</v>
      </c>
      <c r="I15" s="36">
        <v>98894556.596959069</v>
      </c>
      <c r="L15">
        <f ca="1"/>
        <v>0.01</v>
      </c>
      <c r="N15">
        <f ca="1"/>
        <v>9105749.9637643229</v>
      </c>
      <c r="O15">
        <f ca="1"/>
        <v>-105744.69284024932</v>
      </c>
      <c r="P15">
        <f ca="1"/>
        <v>-1383016.7566785601</v>
      </c>
      <c r="Q15">
        <f ca="1"/>
        <v>6932236.8764794646</v>
      </c>
      <c r="R15">
        <f ca="1"/>
        <v>21339.503416884476</v>
      </c>
      <c r="S15">
        <f ca="1"/>
        <v>398328.75510395842</v>
      </c>
      <c r="T15">
        <f ca="1"/>
        <v>3330080.5800525271</v>
      </c>
      <c r="U15">
        <f ca="1"/>
        <v>-51476.365121036724</v>
      </c>
      <c r="W15">
        <f t="shared" ca="1" si="4"/>
        <v>-195219601.95909083</v>
      </c>
      <c r="X15">
        <f t="shared" ca="1" si="5"/>
        <v>-73055743.814706013</v>
      </c>
      <c r="Y15">
        <f t="shared" ca="1" si="6"/>
        <v>-180076762.69511995</v>
      </c>
      <c r="Z15">
        <f t="shared" ca="1" si="7"/>
        <v>-1580761140.4149654</v>
      </c>
      <c r="AA15">
        <f t="shared" ca="1" si="8"/>
        <v>-25373319.2242046</v>
      </c>
      <c r="AB15">
        <f t="shared" ca="1" si="9"/>
        <v>-3023774595.5853419</v>
      </c>
      <c r="AC15">
        <f t="shared" ca="1" si="10"/>
        <v>675239268.05200386</v>
      </c>
      <c r="AD15">
        <f t="shared" ca="1" si="11"/>
        <v>98879113.687422752</v>
      </c>
    </row>
    <row r="16" spans="1:30" ht="44.25" customHeight="1" x14ac:dyDescent="0.25">
      <c r="B16" s="22" t="s">
        <v>38</v>
      </c>
      <c r="C16" s="2"/>
      <c r="D16" s="2"/>
      <c r="E16" s="2"/>
      <c r="F16" s="2"/>
      <c r="G16" s="2"/>
      <c r="H16" s="2"/>
      <c r="I16" s="2"/>
      <c r="L16" s="28" t="s">
        <v>31</v>
      </c>
      <c r="N16" s="31" t="s">
        <v>32</v>
      </c>
      <c r="W16" t="s">
        <v>38</v>
      </c>
    </row>
    <row r="17" spans="2:30" x14ac:dyDescent="0.25">
      <c r="B17" s="32">
        <v>-0.27044965659463549</v>
      </c>
      <c r="C17" s="21">
        <v>-0.51724880221653691</v>
      </c>
      <c r="D17" s="21">
        <v>-0.45081162986913231</v>
      </c>
      <c r="E17" s="21">
        <v>0.48393158931029584</v>
      </c>
      <c r="F17" s="21">
        <v>0.24183375254858719</v>
      </c>
      <c r="G17" s="21">
        <v>-6.9098713471523493E-2</v>
      </c>
      <c r="H17" s="21">
        <v>2.3713281829626753</v>
      </c>
      <c r="I17" s="33">
        <v>-1.7931023459045889E-2</v>
      </c>
      <c r="L17" cm="1">
        <f t="array" aca="1" ref="L17:L24" ca="1">TRANSPOSE(B36:I36)</f>
        <v>0.76319793233244659</v>
      </c>
      <c r="N17" cm="1">
        <f t="array" aca="1" ref="N17:U24" ca="1">MMULT(_xlfn.ANCHORARRAY($L$17),$B$87:$I$87)</f>
        <v>3.6432808921036048E-4</v>
      </c>
      <c r="O17">
        <f ca="1"/>
        <v>-0.11293374030963423</v>
      </c>
      <c r="P17">
        <f ca="1"/>
        <v>-0.13545103672526557</v>
      </c>
      <c r="Q17">
        <f ca="1"/>
        <v>-0.12191538491610353</v>
      </c>
      <c r="R17">
        <f ca="1"/>
        <v>0.10661466051846787</v>
      </c>
      <c r="S17">
        <f ca="1"/>
        <v>6.590032970597165E-2</v>
      </c>
      <c r="T17">
        <f ca="1"/>
        <v>1.9904815698797656E-4</v>
      </c>
      <c r="U17">
        <f ca="1"/>
        <v>-4.5008445173474146E-2</v>
      </c>
      <c r="W17">
        <f ca="1">B17+N17*$L$5</f>
        <v>-0.27034035816787239</v>
      </c>
      <c r="X17">
        <f t="shared" ref="X17:X24" ca="1" si="12">C17+O17*$L$5</f>
        <v>-0.55112892430942717</v>
      </c>
      <c r="Y17">
        <f t="shared" ref="Y17:Y24" ca="1" si="13">D17+P17*$L$5</f>
        <v>-0.49144694088671198</v>
      </c>
      <c r="Z17">
        <f t="shared" ref="Z17:Z24" ca="1" si="14">E17+Q17*$L$5</f>
        <v>0.4473569738354648</v>
      </c>
      <c r="AA17">
        <f t="shared" ref="AA17:AA24" ca="1" si="15">F17+R17*$L$5</f>
        <v>0.27381815070412752</v>
      </c>
      <c r="AB17">
        <f t="shared" ref="AB17:AB24" ca="1" si="16">G17+S17*$L$5</f>
        <v>-4.9328614559732004E-2</v>
      </c>
      <c r="AC17">
        <f t="shared" ref="AC17:AC24" ca="1" si="17">H17+T17*$L$5</f>
        <v>2.3713878974097717</v>
      </c>
      <c r="AD17">
        <f t="shared" ref="AD17:AD24" ca="1" si="18">I17+U17*$L$5</f>
        <v>-3.1433557011088131E-2</v>
      </c>
    </row>
    <row r="18" spans="2:30" x14ac:dyDescent="0.25">
      <c r="B18" s="34">
        <v>1.0042664883645562</v>
      </c>
      <c r="C18" s="2">
        <v>-2.8458068119419866</v>
      </c>
      <c r="D18" s="2">
        <v>0.79171766295682122</v>
      </c>
      <c r="E18" s="2">
        <v>-1.4733571735358006</v>
      </c>
      <c r="F18" s="2">
        <v>1.7297150475152092</v>
      </c>
      <c r="G18" s="2">
        <v>0.19626976269016816</v>
      </c>
      <c r="H18" s="2">
        <v>-2.3815367748744847</v>
      </c>
      <c r="I18" s="10">
        <v>1.9576071119526277</v>
      </c>
      <c r="L18">
        <f ca="1"/>
        <v>7.7328567429886313E-3</v>
      </c>
      <c r="N18">
        <f ca="1"/>
        <v>3.6914367845578677E-6</v>
      </c>
      <c r="O18">
        <f ca="1"/>
        <v>-1.144264676655171E-3</v>
      </c>
      <c r="P18">
        <f ca="1"/>
        <v>-1.3724139155942001E-3</v>
      </c>
      <c r="Q18">
        <f ca="1"/>
        <v>-1.2352682919899275E-3</v>
      </c>
      <c r="R18">
        <f ca="1"/>
        <v>1.0802386400236687E-3</v>
      </c>
      <c r="S18">
        <f ca="1"/>
        <v>6.6771382277542354E-4</v>
      </c>
      <c r="T18">
        <f ca="1"/>
        <v>2.0167912119990634E-6</v>
      </c>
      <c r="U18">
        <f ca="1"/>
        <v>-4.56033545174133E-4</v>
      </c>
      <c r="W18">
        <f t="shared" ref="W18:W24" ca="1" si="19">B18+N18*$L$5</f>
        <v>1.0042675957955916</v>
      </c>
      <c r="X18">
        <f t="shared" ca="1" si="12"/>
        <v>-2.8461500913449833</v>
      </c>
      <c r="Y18">
        <f t="shared" ca="1" si="13"/>
        <v>0.79130593878214295</v>
      </c>
      <c r="Z18">
        <f t="shared" ca="1" si="14"/>
        <v>-1.4737277540233977</v>
      </c>
      <c r="AA18">
        <f t="shared" ca="1" si="15"/>
        <v>1.7300391191072164</v>
      </c>
      <c r="AB18">
        <f t="shared" ca="1" si="16"/>
        <v>0.1964700768370008</v>
      </c>
      <c r="AC18">
        <f t="shared" ca="1" si="17"/>
        <v>-2.3815361698371209</v>
      </c>
      <c r="AD18">
        <f t="shared" ca="1" si="18"/>
        <v>1.9574703018890756</v>
      </c>
    </row>
    <row r="19" spans="2:30" x14ac:dyDescent="0.25">
      <c r="B19" s="34">
        <v>0.72326021013388486</v>
      </c>
      <c r="C19" s="2">
        <v>-1.0713696103953194</v>
      </c>
      <c r="D19" s="2">
        <v>0.69898926340386003</v>
      </c>
      <c r="E19" s="2">
        <v>-0.14160153634039163</v>
      </c>
      <c r="F19" s="2">
        <v>1.322345971218859</v>
      </c>
      <c r="G19" s="2">
        <v>-0.98697660508579377</v>
      </c>
      <c r="H19" s="2">
        <v>0.95205190817789509</v>
      </c>
      <c r="I19" s="10">
        <v>2.3771083740786016</v>
      </c>
      <c r="L19">
        <f ca="1"/>
        <v>0.48592693395177383</v>
      </c>
      <c r="N19">
        <f ca="1"/>
        <v>2.3196712653747353E-4</v>
      </c>
      <c r="O19">
        <f ca="1"/>
        <v>-7.1904736430105948E-2</v>
      </c>
      <c r="P19">
        <f ca="1"/>
        <v>-8.6241463961182124E-2</v>
      </c>
      <c r="Q19">
        <f ca="1"/>
        <v>-7.7623335551735895E-2</v>
      </c>
      <c r="R19">
        <f ca="1"/>
        <v>6.7881388176352378E-2</v>
      </c>
      <c r="S19">
        <f ca="1"/>
        <v>4.1958637207739187E-2</v>
      </c>
      <c r="T19">
        <f ca="1"/>
        <v>1.2673365130631226E-4</v>
      </c>
      <c r="U19">
        <f ca="1"/>
        <v>-2.8656806889193653E-2</v>
      </c>
      <c r="W19">
        <f t="shared" ca="1" si="19"/>
        <v>0.72332980027184612</v>
      </c>
      <c r="X19">
        <f t="shared" ca="1" si="12"/>
        <v>-1.0929410313243513</v>
      </c>
      <c r="Y19">
        <f t="shared" ca="1" si="13"/>
        <v>0.67311682421550534</v>
      </c>
      <c r="Z19">
        <f t="shared" ca="1" si="14"/>
        <v>-0.16488853700591241</v>
      </c>
      <c r="AA19">
        <f t="shared" ca="1" si="15"/>
        <v>1.3427103876717648</v>
      </c>
      <c r="AB19">
        <f t="shared" ca="1" si="16"/>
        <v>-0.97438901392347199</v>
      </c>
      <c r="AC19">
        <f t="shared" ca="1" si="17"/>
        <v>0.95208992827328698</v>
      </c>
      <c r="AD19">
        <f t="shared" ca="1" si="18"/>
        <v>2.3685113320118436</v>
      </c>
    </row>
    <row r="20" spans="2:30" x14ac:dyDescent="0.25">
      <c r="B20" s="34">
        <v>-0.3754598240030021</v>
      </c>
      <c r="C20" s="2">
        <v>-0.24273297756972667</v>
      </c>
      <c r="D20" s="2">
        <v>0.19720817839077528</v>
      </c>
      <c r="E20" s="2">
        <v>-0.52804330059527294</v>
      </c>
      <c r="F20" s="2">
        <v>-0.70888650263499464</v>
      </c>
      <c r="G20" s="2">
        <v>-1.3508878340326664</v>
      </c>
      <c r="H20" s="2">
        <v>-1.0718859900642623</v>
      </c>
      <c r="I20" s="10">
        <v>0.86579689904999313</v>
      </c>
      <c r="L20">
        <f ca="1"/>
        <v>0.19482456734959125</v>
      </c>
      <c r="N20">
        <f ca="1"/>
        <v>9.3003478320212584E-5</v>
      </c>
      <c r="O20">
        <f ca="1"/>
        <v>-2.8829044423316734E-2</v>
      </c>
      <c r="P20">
        <f ca="1"/>
        <v>-3.4577124110391863E-2</v>
      </c>
      <c r="Q20">
        <f ca="1"/>
        <v>-3.1121824514053334E-2</v>
      </c>
      <c r="R20">
        <f ca="1"/>
        <v>2.7215947827786042E-2</v>
      </c>
      <c r="S20">
        <f ca="1"/>
        <v>1.6822638897780341E-2</v>
      </c>
      <c r="T20">
        <f ca="1"/>
        <v>5.0811813586025066E-5</v>
      </c>
      <c r="U20">
        <f ca="1"/>
        <v>-1.1489484557696966E-2</v>
      </c>
      <c r="W20">
        <f t="shared" ca="1" si="19"/>
        <v>-0.37543192295950606</v>
      </c>
      <c r="X20">
        <f t="shared" ca="1" si="12"/>
        <v>-0.25138169089672169</v>
      </c>
      <c r="Y20">
        <f t="shared" ca="1" si="13"/>
        <v>0.18683504115765773</v>
      </c>
      <c r="Z20">
        <f t="shared" ca="1" si="14"/>
        <v>-0.5373798479494889</v>
      </c>
      <c r="AA20">
        <f t="shared" ca="1" si="15"/>
        <v>-0.70072171828665886</v>
      </c>
      <c r="AB20">
        <f t="shared" ca="1" si="16"/>
        <v>-1.3458410423633322</v>
      </c>
      <c r="AC20">
        <f t="shared" ca="1" si="17"/>
        <v>-1.0718707465201864</v>
      </c>
      <c r="AD20">
        <f t="shared" ca="1" si="18"/>
        <v>0.86235005368268403</v>
      </c>
    </row>
    <row r="21" spans="2:30" x14ac:dyDescent="0.25">
      <c r="B21" s="34">
        <v>-1.0655283892894529</v>
      </c>
      <c r="C21" s="2">
        <v>1.171502825961097E-2</v>
      </c>
      <c r="D21" s="2">
        <v>-1.410615751870087</v>
      </c>
      <c r="E21" s="2">
        <v>0.83562443692322153</v>
      </c>
      <c r="F21" s="2">
        <v>-1.3524293722896941</v>
      </c>
      <c r="G21" s="2">
        <v>1.1133391725532242</v>
      </c>
      <c r="H21" s="2">
        <v>3.6585772677519643</v>
      </c>
      <c r="I21" s="10">
        <v>-3.1628457653769129</v>
      </c>
      <c r="L21">
        <f ca="1"/>
        <v>0.93783527712456793</v>
      </c>
      <c r="N21">
        <f ca="1"/>
        <v>4.4769478536798256E-4</v>
      </c>
      <c r="O21">
        <f ca="1"/>
        <v>-0.13877559300549092</v>
      </c>
      <c r="P21">
        <f ca="1"/>
        <v>-0.16644536781673991</v>
      </c>
      <c r="Q21">
        <f ca="1"/>
        <v>-0.14981244570345309</v>
      </c>
      <c r="R21">
        <f ca="1"/>
        <v>0.13101056155551141</v>
      </c>
      <c r="S21">
        <f ca="1"/>
        <v>8.0979849858239458E-2</v>
      </c>
      <c r="T21">
        <f ca="1"/>
        <v>2.4459498062245633E-4</v>
      </c>
      <c r="U21">
        <f ca="1"/>
        <v>-5.5307418775637204E-2</v>
      </c>
      <c r="W21">
        <f t="shared" ca="1" si="19"/>
        <v>-1.0653940808538425</v>
      </c>
      <c r="X21">
        <f t="shared" ca="1" si="12"/>
        <v>-2.99176496420363E-2</v>
      </c>
      <c r="Y21">
        <f t="shared" ca="1" si="13"/>
        <v>-1.4605493622151089</v>
      </c>
      <c r="Z21">
        <f t="shared" ca="1" si="14"/>
        <v>0.79068070321218564</v>
      </c>
      <c r="AA21">
        <f t="shared" ca="1" si="15"/>
        <v>-1.3131262038230407</v>
      </c>
      <c r="AB21">
        <f t="shared" ca="1" si="16"/>
        <v>1.1376331275106961</v>
      </c>
      <c r="AC21">
        <f t="shared" ca="1" si="17"/>
        <v>3.658650646246151</v>
      </c>
      <c r="AD21">
        <f t="shared" ca="1" si="18"/>
        <v>-3.1794379910096042</v>
      </c>
    </row>
    <row r="22" spans="2:30" x14ac:dyDescent="0.25">
      <c r="B22" s="34">
        <v>3.5405668863327744E-2</v>
      </c>
      <c r="C22" s="2">
        <v>4.6122714710490218</v>
      </c>
      <c r="D22" s="2">
        <v>2.24495893865573</v>
      </c>
      <c r="E22" s="2">
        <v>3.1020233388002638</v>
      </c>
      <c r="F22" s="2">
        <v>-2.952371000830095</v>
      </c>
      <c r="G22" s="2">
        <v>-2.3874087686085756</v>
      </c>
      <c r="H22" s="2">
        <v>2.9466993470261627</v>
      </c>
      <c r="I22" s="10">
        <v>3.3065112905764074</v>
      </c>
      <c r="L22">
        <f ca="1"/>
        <v>0.75509661945255802</v>
      </c>
      <c r="N22">
        <f ca="1"/>
        <v>3.6046076237863711E-4</v>
      </c>
      <c r="O22">
        <f ca="1"/>
        <v>-0.11173495356482699</v>
      </c>
      <c r="P22">
        <f ca="1"/>
        <v>-0.13401322985770364</v>
      </c>
      <c r="Q22">
        <f ca="1"/>
        <v>-0.120621258404179</v>
      </c>
      <c r="R22">
        <f ca="1"/>
        <v>0.10548295053098983</v>
      </c>
      <c r="S22">
        <f ca="1"/>
        <v>6.5200800570450704E-2</v>
      </c>
      <c r="T22">
        <f ca="1"/>
        <v>1.9693526945302665E-4</v>
      </c>
      <c r="U22">
        <f ca="1"/>
        <v>-4.4530682484215718E-2</v>
      </c>
      <c r="W22">
        <f t="shared" ca="1" si="19"/>
        <v>3.5513807092041334E-2</v>
      </c>
      <c r="X22">
        <f t="shared" ca="1" si="12"/>
        <v>4.5787509849795738</v>
      </c>
      <c r="Y22">
        <f t="shared" ca="1" si="13"/>
        <v>2.2047549696984188</v>
      </c>
      <c r="Z22">
        <f t="shared" ca="1" si="14"/>
        <v>3.0658369612790102</v>
      </c>
      <c r="AA22">
        <f t="shared" ca="1" si="15"/>
        <v>-2.920726115670798</v>
      </c>
      <c r="AB22">
        <f t="shared" ca="1" si="16"/>
        <v>-2.3678485284374404</v>
      </c>
      <c r="AC22">
        <f t="shared" ca="1" si="17"/>
        <v>2.9467584276069987</v>
      </c>
      <c r="AD22">
        <f t="shared" ca="1" si="18"/>
        <v>3.2931520858311427</v>
      </c>
    </row>
    <row r="23" spans="2:30" x14ac:dyDescent="0.25">
      <c r="B23" s="34">
        <v>0.74064362694429942</v>
      </c>
      <c r="C23" s="2">
        <v>-3.3101639846966271</v>
      </c>
      <c r="D23" s="2">
        <v>-0.31331662327385634</v>
      </c>
      <c r="E23" s="2">
        <v>-1.7927879295128739</v>
      </c>
      <c r="F23" s="2">
        <v>1.2082968777301986</v>
      </c>
      <c r="G23" s="2">
        <v>2.2002312888894955</v>
      </c>
      <c r="H23" s="2">
        <v>-1.2125001065047072</v>
      </c>
      <c r="I23" s="10">
        <v>-0.73767957653943961</v>
      </c>
      <c r="L23">
        <f ca="1"/>
        <v>0.89414662659562549</v>
      </c>
      <c r="N23">
        <f ca="1"/>
        <v>4.268391175352041E-4</v>
      </c>
      <c r="O23">
        <f ca="1"/>
        <v>-0.13231079206160584</v>
      </c>
      <c r="P23">
        <f ca="1"/>
        <v>-0.1586915823875947</v>
      </c>
      <c r="Q23">
        <f ca="1"/>
        <v>-0.14283349775292192</v>
      </c>
      <c r="R23">
        <f ca="1"/>
        <v>0.12490749124134261</v>
      </c>
      <c r="S23">
        <f ca="1"/>
        <v>7.7207438597287362E-2</v>
      </c>
      <c r="T23">
        <f ca="1"/>
        <v>2.332006293006425E-4</v>
      </c>
      <c r="U23">
        <f ca="1"/>
        <v>-5.273094660671309E-2</v>
      </c>
      <c r="W23">
        <f t="shared" ca="1" si="19"/>
        <v>0.74077167867955995</v>
      </c>
      <c r="X23">
        <f t="shared" ca="1" si="12"/>
        <v>-3.3498572223151086</v>
      </c>
      <c r="Y23">
        <f t="shared" ca="1" si="13"/>
        <v>-0.36092409799013475</v>
      </c>
      <c r="Z23">
        <f t="shared" ca="1" si="14"/>
        <v>-1.8356379788387505</v>
      </c>
      <c r="AA23">
        <f t="shared" ca="1" si="15"/>
        <v>1.2457691251026013</v>
      </c>
      <c r="AB23">
        <f t="shared" ca="1" si="16"/>
        <v>2.2233935204686817</v>
      </c>
      <c r="AC23">
        <f t="shared" ca="1" si="17"/>
        <v>-1.2124301463159171</v>
      </c>
      <c r="AD23">
        <f t="shared" ca="1" si="18"/>
        <v>-0.75349886052145354</v>
      </c>
    </row>
    <row r="24" spans="2:30" ht="15.75" thickBot="1" x14ac:dyDescent="0.3">
      <c r="B24" s="35">
        <v>-0.72137018715960055</v>
      </c>
      <c r="C24" s="7">
        <v>-2.0073902388206566</v>
      </c>
      <c r="D24" s="7">
        <v>-1.0052226701905611</v>
      </c>
      <c r="E24" s="7">
        <v>-0.23698586580305578</v>
      </c>
      <c r="F24" s="7">
        <v>0.18745231355812828</v>
      </c>
      <c r="G24" s="7">
        <v>1.7554412241299495</v>
      </c>
      <c r="H24" s="7">
        <v>1.2525183547866412</v>
      </c>
      <c r="I24" s="36">
        <v>-3.2558599642766364</v>
      </c>
      <c r="L24">
        <f ca="1"/>
        <v>0.83235283822967077</v>
      </c>
      <c r="N24">
        <f ca="1"/>
        <v>3.9734059312013665E-4</v>
      </c>
      <c r="O24">
        <f ca="1"/>
        <v>-0.12316689458439231</v>
      </c>
      <c r="P24">
        <f ca="1"/>
        <v>-0.14772452870104952</v>
      </c>
      <c r="Q24">
        <f ca="1"/>
        <v>-0.13296238414673622</v>
      </c>
      <c r="R24">
        <f ca="1"/>
        <v>0.11627523021221216</v>
      </c>
      <c r="S24">
        <f ca="1"/>
        <v>7.1871691663785972E-2</v>
      </c>
      <c r="T24">
        <f ca="1"/>
        <v>2.1708431246267898E-4</v>
      </c>
      <c r="U24">
        <f ca="1"/>
        <v>-4.9086751283449505E-2</v>
      </c>
      <c r="W24">
        <f t="shared" ca="1" si="19"/>
        <v>-0.72125098498166451</v>
      </c>
      <c r="X24">
        <f t="shared" ca="1" si="12"/>
        <v>-2.0443403071959745</v>
      </c>
      <c r="Y24">
        <f t="shared" ca="1" si="13"/>
        <v>-1.049540028800876</v>
      </c>
      <c r="Z24">
        <f t="shared" ca="1" si="14"/>
        <v>-0.27687458104707663</v>
      </c>
      <c r="AA24">
        <f t="shared" ca="1" si="15"/>
        <v>0.22233488262179191</v>
      </c>
      <c r="AB24">
        <f t="shared" ca="1" si="16"/>
        <v>1.7770027316290853</v>
      </c>
      <c r="AC24">
        <f t="shared" ca="1" si="17"/>
        <v>1.2525834800803799</v>
      </c>
      <c r="AD24">
        <f t="shared" ca="1" si="18"/>
        <v>-3.2705859896616714</v>
      </c>
    </row>
    <row r="25" spans="2:30" ht="42" customHeight="1" x14ac:dyDescent="0.25">
      <c r="B25" s="22" t="s">
        <v>37</v>
      </c>
      <c r="C25" s="2"/>
      <c r="D25" s="2"/>
      <c r="E25" s="2"/>
      <c r="F25" s="2"/>
      <c r="L25" s="29" t="s">
        <v>30</v>
      </c>
      <c r="M25" s="30"/>
      <c r="N25" s="30" t="s">
        <v>27</v>
      </c>
      <c r="W25" t="s">
        <v>37</v>
      </c>
    </row>
    <row r="26" spans="2:30" x14ac:dyDescent="0.25">
      <c r="B26" s="32">
        <v>0.28333487195755258</v>
      </c>
      <c r="C26" s="21">
        <v>-0.4184291750535572</v>
      </c>
      <c r="D26" s="21">
        <v>-0.27721304453234114</v>
      </c>
      <c r="E26" s="21">
        <v>-0.98989376672476748</v>
      </c>
      <c r="F26" s="2"/>
      <c r="L26" cm="1">
        <f t="array" aca="1" ref="L26:L33" ca="1">TRANSPOSE(B39:I39)</f>
        <v>0.30341593722784832</v>
      </c>
      <c r="N26" cm="1">
        <f t="array" aca="1" ref="N26:Q33" ca="1">MMULT(_xlfn.ANCHORARRAY(L26),B58:E58)</f>
        <v>-8.945782271276714E-3</v>
      </c>
      <c r="O26">
        <f ca="1"/>
        <v>4.281539478530557E-2</v>
      </c>
      <c r="P26">
        <f ca="1"/>
        <v>-6.0541046763260423E-3</v>
      </c>
      <c r="Q26">
        <f ca="1"/>
        <v>-2.1536338857255942E-2</v>
      </c>
      <c r="W26">
        <f ca="1">B26+N26*$L$5</f>
        <v>0.28065113727616958</v>
      </c>
      <c r="X26">
        <f t="shared" ref="X26:X33" ca="1" si="20">C26+O26*$L$5</f>
        <v>-0.40558455661796555</v>
      </c>
      <c r="Y26">
        <f t="shared" ref="Y26:Y33" ca="1" si="21">D26+P26*$L$5</f>
        <v>-0.27902927593523896</v>
      </c>
      <c r="Z26">
        <f t="shared" ref="Z26:Z33" ca="1" si="22">E26+Q26*$L$5</f>
        <v>-0.99635466838194431</v>
      </c>
    </row>
    <row r="27" spans="2:30" x14ac:dyDescent="0.25">
      <c r="B27" s="34">
        <v>-0.77565820297823651</v>
      </c>
      <c r="C27" s="2">
        <v>-1.9040030768808718</v>
      </c>
      <c r="D27" s="2">
        <v>0.78861826442242577</v>
      </c>
      <c r="E27" s="2">
        <v>0.604658327096666</v>
      </c>
      <c r="L27">
        <f ca="1"/>
        <v>0.10701519889754213</v>
      </c>
      <c r="N27">
        <f ca="1"/>
        <v>-3.1551891367389818E-3</v>
      </c>
      <c r="O27">
        <f ca="1"/>
        <v>1.510104588008347E-2</v>
      </c>
      <c r="P27">
        <f ca="1"/>
        <v>-2.1352906574483889E-3</v>
      </c>
      <c r="Q27">
        <f ca="1"/>
        <v>-7.5958949532812367E-3</v>
      </c>
      <c r="W27">
        <f t="shared" ref="W27:W33" ca="1" si="23">B27+N27*$L$5</f>
        <v>-0.77660475971925824</v>
      </c>
      <c r="X27">
        <f t="shared" ca="1" si="20"/>
        <v>-1.8994727631168467</v>
      </c>
      <c r="Y27">
        <f t="shared" ca="1" si="21"/>
        <v>0.7879776772251913</v>
      </c>
      <c r="Z27">
        <f t="shared" ca="1" si="22"/>
        <v>0.6023795586106816</v>
      </c>
    </row>
    <row r="28" spans="2:30" x14ac:dyDescent="0.25">
      <c r="B28" s="34">
        <v>0.6205139689279513</v>
      </c>
      <c r="C28" s="2">
        <v>-1.0935441073382235</v>
      </c>
      <c r="D28" s="2">
        <v>0.44441503471013993</v>
      </c>
      <c r="E28" s="2">
        <v>-0.54244875813271798</v>
      </c>
      <c r="L28">
        <f ca="1"/>
        <v>0.33082129529357523</v>
      </c>
      <c r="N28">
        <f ca="1"/>
        <v>-9.7537898155154578E-3</v>
      </c>
      <c r="O28">
        <f ca="1"/>
        <v>4.668259845145848E-2</v>
      </c>
      <c r="P28">
        <f ca="1"/>
        <v>-6.6009279840862876E-3</v>
      </c>
      <c r="Q28">
        <f ca="1"/>
        <v>-2.3481559939577373E-2</v>
      </c>
      <c r="W28">
        <f t="shared" ca="1" si="23"/>
        <v>0.6175878319832967</v>
      </c>
      <c r="X28">
        <f t="shared" ca="1" si="20"/>
        <v>-1.0795393278027861</v>
      </c>
      <c r="Y28">
        <f t="shared" ca="1" si="21"/>
        <v>0.44243475631491402</v>
      </c>
      <c r="Z28">
        <f t="shared" ca="1" si="22"/>
        <v>-0.54949322611459117</v>
      </c>
    </row>
    <row r="29" spans="2:30" x14ac:dyDescent="0.25">
      <c r="B29" s="34">
        <v>0.33582427007064308</v>
      </c>
      <c r="C29" s="2">
        <v>-1.4105179493081705</v>
      </c>
      <c r="D29" s="2">
        <v>-0.51434612476262287</v>
      </c>
      <c r="E29" s="2">
        <v>0.21731280340961376</v>
      </c>
      <c r="L29">
        <f ca="1"/>
        <v>0.81935635120075523</v>
      </c>
      <c r="N29">
        <f ca="1"/>
        <v>-2.4157542901002717E-2</v>
      </c>
      <c r="O29">
        <f ca="1"/>
        <v>0.11562037896567018</v>
      </c>
      <c r="P29">
        <f ca="1"/>
        <v>-1.6348742794143018E-2</v>
      </c>
      <c r="Q29">
        <f ca="1"/>
        <v>-5.8157577962205602E-2</v>
      </c>
      <c r="W29">
        <f t="shared" ca="1" si="23"/>
        <v>0.32857700720034227</v>
      </c>
      <c r="X29">
        <f t="shared" ca="1" si="20"/>
        <v>-1.3758318356184696</v>
      </c>
      <c r="Y29">
        <f t="shared" ca="1" si="21"/>
        <v>-0.51925074760086576</v>
      </c>
      <c r="Z29">
        <f t="shared" ca="1" si="22"/>
        <v>0.19986553002095209</v>
      </c>
    </row>
    <row r="30" spans="2:30" x14ac:dyDescent="0.25">
      <c r="B30" s="34">
        <v>4.811597455745191E-2</v>
      </c>
      <c r="C30" s="2">
        <v>0.50593846101804807</v>
      </c>
      <c r="D30" s="2">
        <v>-1.0349699726754404</v>
      </c>
      <c r="E30" s="2">
        <v>-1.4353232334414148</v>
      </c>
      <c r="L30">
        <f ca="1"/>
        <v>0.17380991436455454</v>
      </c>
      <c r="N30">
        <f ca="1"/>
        <v>-5.1245351997675033E-3</v>
      </c>
      <c r="O30">
        <f ca="1"/>
        <v>2.4526530046871688E-2</v>
      </c>
      <c r="P30">
        <f ca="1"/>
        <v>-3.4680558475611249E-3</v>
      </c>
      <c r="Q30">
        <f ca="1"/>
        <v>-1.2336956478639843E-2</v>
      </c>
      <c r="W30">
        <f t="shared" ca="1" si="23"/>
        <v>4.657861399752166E-2</v>
      </c>
      <c r="X30">
        <f t="shared" ca="1" si="20"/>
        <v>0.51329642003210962</v>
      </c>
      <c r="Y30">
        <f t="shared" ca="1" si="21"/>
        <v>-1.0360103894297088</v>
      </c>
      <c r="Z30">
        <f t="shared" ca="1" si="22"/>
        <v>-1.4390243203850068</v>
      </c>
    </row>
    <row r="31" spans="2:30" x14ac:dyDescent="0.25">
      <c r="B31" s="34">
        <v>0.44247769725468356</v>
      </c>
      <c r="C31" s="2">
        <v>0.63512311582205583</v>
      </c>
      <c r="D31" s="2">
        <v>-1.8669002135389534</v>
      </c>
      <c r="E31" s="2">
        <v>-0.2892583828269939</v>
      </c>
      <c r="L31">
        <f ca="1"/>
        <v>0.86713687902320524</v>
      </c>
      <c r="N31">
        <f ca="1"/>
        <v>-2.5566283004148118E-2</v>
      </c>
      <c r="O31">
        <f ca="1"/>
        <v>0.12236274780911111</v>
      </c>
      <c r="P31">
        <f ca="1"/>
        <v>-1.7302114985367097E-2</v>
      </c>
      <c r="Q31">
        <f ca="1"/>
        <v>-6.1549020242279685E-2</v>
      </c>
      <c r="W31">
        <f t="shared" ca="1" si="23"/>
        <v>0.43480781235343913</v>
      </c>
      <c r="X31">
        <f t="shared" ca="1" si="20"/>
        <v>0.6718319401647892</v>
      </c>
      <c r="Y31">
        <f t="shared" ca="1" si="21"/>
        <v>-1.8720908480345635</v>
      </c>
      <c r="Z31">
        <f t="shared" ca="1" si="22"/>
        <v>-0.30772308889967781</v>
      </c>
    </row>
    <row r="32" spans="2:30" x14ac:dyDescent="0.25">
      <c r="B32" s="34">
        <v>-2.3077961730820311</v>
      </c>
      <c r="C32" s="2">
        <v>0.30374335380789363</v>
      </c>
      <c r="D32" s="2">
        <v>0.2914829431555736</v>
      </c>
      <c r="E32" s="2">
        <v>0.16815826561266636</v>
      </c>
      <c r="L32">
        <f ca="1"/>
        <v>0.99952879429081964</v>
      </c>
      <c r="N32">
        <f ca="1"/>
        <v>-2.9469668104094314E-2</v>
      </c>
      <c r="O32">
        <f ca="1"/>
        <v>0.14104473323926001</v>
      </c>
      <c r="P32">
        <f ca="1"/>
        <v>-1.9943751152051159E-2</v>
      </c>
      <c r="Q32">
        <f ca="1"/>
        <v>-7.0946144121844856E-2</v>
      </c>
      <c r="W32">
        <f t="shared" ca="1" si="23"/>
        <v>-2.3166370735132595</v>
      </c>
      <c r="X32">
        <f t="shared" ca="1" si="20"/>
        <v>0.34605677377967164</v>
      </c>
      <c r="Y32">
        <f t="shared" ca="1" si="21"/>
        <v>0.28549981780995826</v>
      </c>
      <c r="Z32">
        <f t="shared" ca="1" si="22"/>
        <v>0.1468744223761129</v>
      </c>
    </row>
    <row r="33" spans="2:26" ht="15.75" thickBot="1" x14ac:dyDescent="0.3">
      <c r="B33" s="35">
        <v>0.31803200944007654</v>
      </c>
      <c r="C33" s="7">
        <v>-1.5721515713877894</v>
      </c>
      <c r="D33" s="7">
        <v>1.5590964323783976</v>
      </c>
      <c r="E33" s="7">
        <v>-1.8133930724150289</v>
      </c>
      <c r="L33">
        <f ca="1"/>
        <v>7.4890964431062079E-2</v>
      </c>
      <c r="N33">
        <f ca="1"/>
        <v>-2.2080523126348146E-3</v>
      </c>
      <c r="O33">
        <f ca="1"/>
        <v>1.0567955781308579E-2</v>
      </c>
      <c r="P33">
        <f ca="1"/>
        <v>-1.4943108859709765E-3</v>
      </c>
      <c r="Q33">
        <f ca="1"/>
        <v>-5.3157299582548782E-3</v>
      </c>
      <c r="W33">
        <f t="shared" ca="1" si="23"/>
        <v>0.31736959374628609</v>
      </c>
      <c r="X33">
        <f t="shared" ca="1" si="20"/>
        <v>-1.5689811846533968</v>
      </c>
      <c r="Y33">
        <f t="shared" ca="1" si="21"/>
        <v>1.5586481391126064</v>
      </c>
      <c r="Z33">
        <f t="shared" ca="1" si="22"/>
        <v>-1.8149877914025054</v>
      </c>
    </row>
    <row r="34" spans="2:26" ht="52.5" customHeight="1" thickBot="1" x14ac:dyDescent="0.3">
      <c r="B34" s="17" t="s">
        <v>15</v>
      </c>
      <c r="C34" s="1"/>
      <c r="D34" s="1"/>
      <c r="E34" s="1"/>
      <c r="F34" s="1"/>
      <c r="G34" s="1"/>
      <c r="H34" s="1"/>
      <c r="I34" s="1"/>
    </row>
    <row r="35" spans="2:26" ht="42.75" customHeight="1" thickTop="1" x14ac:dyDescent="0.25">
      <c r="B35" s="3" cm="1">
        <f t="array" aca="1" ref="B35:I35" ca="1">MMULT($B$6:$I$6,$B$17:$I$24)</f>
        <v>1.1702927762464714</v>
      </c>
      <c r="C35" s="2">
        <f ca="1"/>
        <v>-4.8545140086256362</v>
      </c>
      <c r="D35" s="2">
        <f ca="1"/>
        <v>-5.6307136262310625E-2</v>
      </c>
      <c r="E35" s="2">
        <f ca="1"/>
        <v>-1.4189606834196464</v>
      </c>
      <c r="F35" s="2">
        <f ca="1"/>
        <v>2.7137866403358539</v>
      </c>
      <c r="G35" s="2">
        <f ca="1"/>
        <v>1.1259819461961775</v>
      </c>
      <c r="H35" s="2">
        <f ca="1"/>
        <v>2.1338149068357652</v>
      </c>
      <c r="I35" s="4">
        <f ca="1"/>
        <v>1.6023948920585698</v>
      </c>
    </row>
    <row r="36" spans="2:26" ht="26.25" customHeight="1" thickBot="1" x14ac:dyDescent="0.3">
      <c r="B36" s="5">
        <f ca="1">1/(1+EXP(-B35))</f>
        <v>0.76319793233244659</v>
      </c>
      <c r="C36" s="7">
        <f t="shared" ref="C36:I36" ca="1" si="24">1/(1+EXP(-C35))</f>
        <v>7.7328567429886313E-3</v>
      </c>
      <c r="D36" s="7">
        <f t="shared" ca="1" si="24"/>
        <v>0.48592693395177383</v>
      </c>
      <c r="E36" s="7">
        <f t="shared" ca="1" si="24"/>
        <v>0.19482456734959125</v>
      </c>
      <c r="F36" s="7">
        <f t="shared" ca="1" si="24"/>
        <v>0.93783527712456793</v>
      </c>
      <c r="G36" s="7">
        <f t="shared" ca="1" si="24"/>
        <v>0.75509661945255802</v>
      </c>
      <c r="H36" s="7">
        <f t="shared" ca="1" si="24"/>
        <v>0.89414662659562549</v>
      </c>
      <c r="I36" s="6">
        <f t="shared" ca="1" si="24"/>
        <v>0.83235283822967077</v>
      </c>
    </row>
    <row r="37" spans="2:26" ht="24" customHeight="1" thickBot="1" x14ac:dyDescent="0.3">
      <c r="B37" s="17" t="s">
        <v>16</v>
      </c>
      <c r="C37" s="1"/>
      <c r="D37" s="1"/>
      <c r="E37" s="1"/>
      <c r="F37" s="1"/>
      <c r="G37" s="1"/>
      <c r="H37" s="1"/>
      <c r="I37" s="1"/>
    </row>
    <row r="38" spans="2:26" ht="15.75" thickTop="1" x14ac:dyDescent="0.25">
      <c r="B38" s="3" cm="1">
        <f t="array" aca="1" ref="B38:I38" ca="1">MMULT($B$36:$I$36,$B$17:$I$24)</f>
        <v>-0.83108388477558415</v>
      </c>
      <c r="C38" s="2">
        <f ca="1"/>
        <v>-2.1215986905438333</v>
      </c>
      <c r="D38" s="2">
        <f ca="1"/>
        <v>-0.70447281038036524</v>
      </c>
      <c r="E38" s="2">
        <f ca="1"/>
        <v>1.5119927949888792</v>
      </c>
      <c r="F38" s="2">
        <f ca="1"/>
        <v>-1.5588626190540322</v>
      </c>
      <c r="G38" s="2">
        <f ca="1"/>
        <v>1.8758774082528322</v>
      </c>
      <c r="H38" s="2">
        <f ca="1"/>
        <v>7.6597444926816909</v>
      </c>
      <c r="I38" s="4">
        <f ca="1"/>
        <v>-2.5138783587094347</v>
      </c>
    </row>
    <row r="39" spans="2:26" ht="42" customHeight="1" thickBot="1" x14ac:dyDescent="0.3">
      <c r="B39" s="5">
        <f ca="1">1/(1+EXP(-B38))</f>
        <v>0.30341593722784832</v>
      </c>
      <c r="C39" s="7">
        <f t="shared" ref="C39" ca="1" si="25">1/(1+EXP(-C38))</f>
        <v>0.10701519889754213</v>
      </c>
      <c r="D39" s="7">
        <f t="shared" ref="D39" ca="1" si="26">1/(1+EXP(-D38))</f>
        <v>0.33082129529357523</v>
      </c>
      <c r="E39" s="7">
        <f t="shared" ref="E39" ca="1" si="27">1/(1+EXP(-E38))</f>
        <v>0.81935635120075523</v>
      </c>
      <c r="F39" s="7">
        <f t="shared" ref="F39" ca="1" si="28">1/(1+EXP(-F38))</f>
        <v>0.17380991436455454</v>
      </c>
      <c r="G39" s="7">
        <f t="shared" ref="G39" ca="1" si="29">1/(1+EXP(-G38))</f>
        <v>0.86713687902320524</v>
      </c>
      <c r="H39" s="7">
        <f t="shared" ref="H39" ca="1" si="30">1/(1+EXP(-H38))</f>
        <v>0.99952879429081964</v>
      </c>
      <c r="I39" s="6">
        <f t="shared" ref="I39" ca="1" si="31">1/(1+EXP(-I38))</f>
        <v>7.4890964431062079E-2</v>
      </c>
    </row>
    <row r="40" spans="2:26" ht="27.75" customHeight="1" thickBot="1" x14ac:dyDescent="0.3">
      <c r="B40" s="19" t="s">
        <v>17</v>
      </c>
      <c r="C40" s="18"/>
      <c r="D40" s="18"/>
      <c r="E40" s="18"/>
      <c r="F40" s="8"/>
      <c r="G40" s="2"/>
      <c r="H40" s="2"/>
      <c r="I40" s="2"/>
    </row>
    <row r="41" spans="2:26" ht="15.75" thickTop="1" x14ac:dyDescent="0.25">
      <c r="B41" s="3" cm="1">
        <f t="array" aca="1" ref="B41:E41" ca="1">MMULT($B$39:$I$39,B26:$E$33)</f>
        <v>-1.4074391572161871</v>
      </c>
      <c r="C41" s="2">
        <f ca="1"/>
        <v>-1.0236637887597659</v>
      </c>
      <c r="D41" s="2">
        <f ca="1"/>
        <v>-1.6647657586522195</v>
      </c>
      <c r="E41" s="4">
        <f ca="1"/>
        <v>-0.70506663618615584</v>
      </c>
      <c r="F41" s="3"/>
      <c r="G41" s="2"/>
      <c r="H41" s="2"/>
      <c r="I41" s="2"/>
    </row>
    <row r="42" spans="2:26" ht="15.75" thickBot="1" x14ac:dyDescent="0.3">
      <c r="B42" s="5">
        <f ca="1">1/(1+EXP(-B41))</f>
        <v>0.19663828272421394</v>
      </c>
      <c r="C42" s="7">
        <f t="shared" ref="C42:F42" ca="1" si="32">1/(1+EXP(-C41))</f>
        <v>0.26431435354997657</v>
      </c>
      <c r="D42" s="7">
        <f t="shared" ca="1" si="32"/>
        <v>0.15912328742245341</v>
      </c>
      <c r="E42" s="6">
        <f t="shared" ca="1" si="32"/>
        <v>0.3306898481977007</v>
      </c>
      <c r="G42" s="2"/>
      <c r="H42" s="2"/>
      <c r="I42" s="2"/>
    </row>
    <row r="43" spans="2:26" ht="15.75" thickBot="1" x14ac:dyDescent="0.3">
      <c r="B43" t="s">
        <v>18</v>
      </c>
      <c r="C43" t="s">
        <v>19</v>
      </c>
      <c r="D43" t="s">
        <v>20</v>
      </c>
      <c r="E43" t="s">
        <v>21</v>
      </c>
    </row>
    <row r="44" spans="2:26" ht="41.25" customHeight="1" thickBot="1" x14ac:dyDescent="0.3">
      <c r="B44" s="23" t="s">
        <v>22</v>
      </c>
      <c r="C44" s="23"/>
      <c r="D44" s="23"/>
      <c r="E44" s="23"/>
      <c r="F44" s="23"/>
    </row>
    <row r="45" spans="2:26" ht="16.5" thickTop="1" thickBot="1" x14ac:dyDescent="0.3">
      <c r="B45" s="7">
        <f ca="1">MATCH(MAX($B$42:$E$42),$B$42:$E$42)</f>
        <v>4</v>
      </c>
      <c r="C45" s="7" t="str">
        <f ca="1">CHOOSE(B45,B43,C43,D43,E43)</f>
        <v>Bracelet</v>
      </c>
      <c r="D45" s="7"/>
      <c r="E45" s="7"/>
      <c r="F45" s="7"/>
    </row>
    <row r="46" spans="2:26" ht="15.75" thickBot="1" x14ac:dyDescent="0.3"/>
    <row r="47" spans="2:26" ht="15.75" thickBot="1" x14ac:dyDescent="0.3">
      <c r="B47" s="25" t="s">
        <v>23</v>
      </c>
      <c r="C47" s="25"/>
      <c r="D47" s="25"/>
      <c r="E47" s="25"/>
      <c r="F47" s="25"/>
      <c r="M47" s="24"/>
    </row>
    <row r="48" spans="2:26" ht="16.5" thickTop="1" thickBot="1" x14ac:dyDescent="0.3">
      <c r="B48" s="7"/>
      <c r="C48" s="7" t="str">
        <f ca="1">IF(C3=C61,INDEX(C63:E65,MATCH(H3,B63:B65,0),MATCH(E3,C62:E62,0)),INDEX(C69:E71,MATCH(H3,B69:B71,0),MATCH(E3,C68:E68,0)))</f>
        <v>Headphones</v>
      </c>
      <c r="D48" s="7"/>
      <c r="E48" s="7"/>
      <c r="F48" s="7"/>
      <c r="M48" s="24"/>
    </row>
    <row r="49" spans="2:13" ht="27.75" customHeight="1" thickBot="1" x14ac:dyDescent="0.3"/>
    <row r="50" spans="2:13" ht="19.5" customHeight="1" x14ac:dyDescent="0.25">
      <c r="B50" s="26" t="s">
        <v>24</v>
      </c>
      <c r="C50" s="26"/>
      <c r="D50" s="26"/>
      <c r="E50" s="26"/>
    </row>
    <row r="51" spans="2:13" x14ac:dyDescent="0.25">
      <c r="B51" s="9" t="s">
        <v>18</v>
      </c>
      <c r="C51" s="9" t="s">
        <v>19</v>
      </c>
      <c r="D51" s="9" t="s">
        <v>20</v>
      </c>
      <c r="E51" s="9" t="s">
        <v>21</v>
      </c>
    </row>
    <row r="52" spans="2:13" x14ac:dyDescent="0.25">
      <c r="B52" s="9">
        <f ca="1">IF($C$48=B43,0.99,0.01)</f>
        <v>0.01</v>
      </c>
      <c r="C52" s="9">
        <f ca="1">IF($C$48=C43,0.99,0.01)</f>
        <v>0.99</v>
      </c>
      <c r="D52" s="9">
        <f ca="1">IF($C$48=D43,0.99,0.01)</f>
        <v>0.01</v>
      </c>
      <c r="E52" s="9">
        <f ca="1">IF($C$48=E43,0.99,0.01)</f>
        <v>0.01</v>
      </c>
    </row>
    <row r="53" spans="2:13" x14ac:dyDescent="0.25">
      <c r="M53" s="24"/>
    </row>
    <row r="54" spans="2:13" x14ac:dyDescent="0.25">
      <c r="B54" s="22" t="s">
        <v>25</v>
      </c>
      <c r="M54" s="24"/>
    </row>
    <row r="55" spans="2:13" x14ac:dyDescent="0.25">
      <c r="B55" s="27" t="s">
        <v>18</v>
      </c>
      <c r="C55" s="27" t="s">
        <v>19</v>
      </c>
      <c r="D55" s="27" t="s">
        <v>20</v>
      </c>
      <c r="E55" s="27" t="s">
        <v>21</v>
      </c>
    </row>
    <row r="56" spans="2:13" x14ac:dyDescent="0.25">
      <c r="B56" s="9">
        <f ca="1">B52-B42</f>
        <v>-0.18663828272421393</v>
      </c>
      <c r="C56" s="9">
        <f ca="1">C52-C42</f>
        <v>0.72568564645002342</v>
      </c>
      <c r="D56" s="9">
        <f ca="1">D52-D42</f>
        <v>-0.1491232874224534</v>
      </c>
      <c r="E56" s="9">
        <f ca="1">E52-E42</f>
        <v>-0.32068984819770069</v>
      </c>
    </row>
    <row r="57" spans="2:13" ht="40.5" customHeight="1" x14ac:dyDescent="0.25"/>
    <row r="58" spans="2:13" x14ac:dyDescent="0.25">
      <c r="B58">
        <f ca="1">B56*B42*(1-B42)</f>
        <v>-2.9483560926329769E-2</v>
      </c>
      <c r="C58">
        <f t="shared" ref="C58:E58" ca="1" si="33">C56*C42*(1-C42)</f>
        <v>0.1411112256544178</v>
      </c>
      <c r="D58">
        <f t="shared" ca="1" si="33"/>
        <v>-1.9953153191751262E-2</v>
      </c>
      <c r="E58">
        <f t="shared" ca="1" si="33"/>
        <v>-7.0979590109939941E-2</v>
      </c>
    </row>
    <row r="59" spans="2:13" x14ac:dyDescent="0.25">
      <c r="B59" s="2"/>
    </row>
    <row r="60" spans="2:13" ht="51.75" customHeight="1" x14ac:dyDescent="0.25"/>
    <row r="61" spans="2:13" ht="36.75" customHeight="1" x14ac:dyDescent="0.25">
      <c r="B61" s="24"/>
      <c r="C61" s="24" t="s">
        <v>2</v>
      </c>
      <c r="D61" s="24"/>
      <c r="E61" s="24"/>
    </row>
    <row r="62" spans="2:13" x14ac:dyDescent="0.25">
      <c r="B62" s="24"/>
      <c r="C62" s="24" t="s">
        <v>5</v>
      </c>
      <c r="D62" s="24" t="s">
        <v>6</v>
      </c>
      <c r="E62" s="24" t="s">
        <v>7</v>
      </c>
    </row>
    <row r="63" spans="2:13" x14ac:dyDescent="0.25">
      <c r="B63" s="24" t="s">
        <v>9</v>
      </c>
      <c r="C63" t="s">
        <v>19</v>
      </c>
      <c r="D63" t="s">
        <v>18</v>
      </c>
      <c r="E63" t="s">
        <v>18</v>
      </c>
    </row>
    <row r="64" spans="2:13" x14ac:dyDescent="0.25">
      <c r="B64" s="24" t="s">
        <v>10</v>
      </c>
      <c r="C64" t="s">
        <v>19</v>
      </c>
      <c r="D64" t="s">
        <v>18</v>
      </c>
      <c r="E64" t="s">
        <v>18</v>
      </c>
    </row>
    <row r="65" spans="2:5" x14ac:dyDescent="0.25">
      <c r="B65" s="24" t="s">
        <v>11</v>
      </c>
      <c r="C65" t="s">
        <v>21</v>
      </c>
      <c r="D65" t="s">
        <v>20</v>
      </c>
      <c r="E65" t="s">
        <v>20</v>
      </c>
    </row>
    <row r="67" spans="2:5" x14ac:dyDescent="0.25">
      <c r="B67" s="24"/>
      <c r="C67" s="24" t="s">
        <v>3</v>
      </c>
      <c r="D67" s="24"/>
      <c r="E67" s="24"/>
    </row>
    <row r="68" spans="2:5" x14ac:dyDescent="0.25">
      <c r="B68" s="24"/>
      <c r="C68" s="24" t="s">
        <v>5</v>
      </c>
      <c r="D68" s="24" t="s">
        <v>6</v>
      </c>
      <c r="E68" s="24" t="s">
        <v>7</v>
      </c>
    </row>
    <row r="69" spans="2:5" x14ac:dyDescent="0.25">
      <c r="B69" s="24" t="s">
        <v>9</v>
      </c>
      <c r="C69" t="s">
        <v>19</v>
      </c>
      <c r="D69" t="s">
        <v>20</v>
      </c>
      <c r="E69" t="s">
        <v>20</v>
      </c>
    </row>
    <row r="70" spans="2:5" x14ac:dyDescent="0.25">
      <c r="B70" s="24" t="s">
        <v>10</v>
      </c>
      <c r="C70" t="s">
        <v>20</v>
      </c>
      <c r="D70" t="s">
        <v>21</v>
      </c>
      <c r="E70" t="s">
        <v>20</v>
      </c>
    </row>
    <row r="71" spans="2:5" x14ac:dyDescent="0.25">
      <c r="B71" s="24" t="s">
        <v>11</v>
      </c>
      <c r="C71" t="s">
        <v>21</v>
      </c>
      <c r="D71" t="s">
        <v>21</v>
      </c>
      <c r="E71" t="s">
        <v>20</v>
      </c>
    </row>
    <row r="81" spans="2:9" x14ac:dyDescent="0.25">
      <c r="B81" s="24" t="s">
        <v>28</v>
      </c>
    </row>
    <row r="82" spans="2:9" x14ac:dyDescent="0.25">
      <c r="B82" cm="1">
        <f t="array" ref="B82:I85">TRANSPOSE(B26:E33)</f>
        <v>0.28333487195755258</v>
      </c>
      <c r="C82">
        <v>-0.77565820297823651</v>
      </c>
      <c r="D82">
        <v>0.6205139689279513</v>
      </c>
      <c r="E82">
        <v>0.33582427007064308</v>
      </c>
      <c r="F82">
        <v>4.811597455745191E-2</v>
      </c>
      <c r="G82">
        <v>0.44247769725468356</v>
      </c>
      <c r="H82">
        <v>-2.3077961730820311</v>
      </c>
      <c r="I82">
        <v>0.31803200944007654</v>
      </c>
    </row>
    <row r="83" spans="2:9" x14ac:dyDescent="0.25">
      <c r="B83">
        <v>-0.4184291750535572</v>
      </c>
      <c r="C83">
        <v>-1.9040030768808718</v>
      </c>
      <c r="D83">
        <v>-1.0935441073382235</v>
      </c>
      <c r="E83">
        <v>-1.4105179493081705</v>
      </c>
      <c r="F83">
        <v>0.50593846101804807</v>
      </c>
      <c r="G83">
        <v>0.63512311582205583</v>
      </c>
      <c r="H83">
        <v>0.30374335380789363</v>
      </c>
      <c r="I83">
        <v>-1.5721515713877894</v>
      </c>
    </row>
    <row r="84" spans="2:9" x14ac:dyDescent="0.25">
      <c r="B84">
        <v>-0.27721304453234114</v>
      </c>
      <c r="C84">
        <v>0.78861826442242577</v>
      </c>
      <c r="D84">
        <v>0.44441503471013993</v>
      </c>
      <c r="E84">
        <v>-0.51434612476262287</v>
      </c>
      <c r="F84">
        <v>-1.0349699726754404</v>
      </c>
      <c r="G84">
        <v>-1.8669002135389534</v>
      </c>
      <c r="H84">
        <v>0.2914829431555736</v>
      </c>
      <c r="I84">
        <v>1.5590964323783976</v>
      </c>
    </row>
    <row r="85" spans="2:9" x14ac:dyDescent="0.25">
      <c r="B85">
        <v>-0.98989376672476748</v>
      </c>
      <c r="C85">
        <v>0.604658327096666</v>
      </c>
      <c r="D85">
        <v>-0.54244875813271798</v>
      </c>
      <c r="E85">
        <v>0.21731280340961376</v>
      </c>
      <c r="F85">
        <v>-1.4353232334414148</v>
      </c>
      <c r="G85">
        <v>-0.2892583828269939</v>
      </c>
      <c r="H85">
        <v>0.16815826561266636</v>
      </c>
      <c r="I85">
        <v>-1.8133930724150289</v>
      </c>
    </row>
    <row r="86" spans="2:9" x14ac:dyDescent="0.25">
      <c r="B86" s="24" t="s">
        <v>29</v>
      </c>
    </row>
    <row r="87" spans="2:9" x14ac:dyDescent="0.25">
      <c r="B87">
        <f ca="1">B88*B39*(1-B39)</f>
        <v>4.7737038293188186E-4</v>
      </c>
      <c r="C87">
        <f t="shared" ref="C87:I87" ca="1" si="34">C88*C39*(1-C39)</f>
        <v>-0.14797437928650028</v>
      </c>
      <c r="D87">
        <f t="shared" ca="1" si="34"/>
        <v>-0.1774782543124914</v>
      </c>
      <c r="E87">
        <f t="shared" ca="1" si="34"/>
        <v>-0.15974281343178165</v>
      </c>
      <c r="F87">
        <f t="shared" ca="1" si="34"/>
        <v>0.13969464014746158</v>
      </c>
      <c r="G87">
        <f t="shared" ca="1" si="34"/>
        <v>8.6347626106075034E-2</v>
      </c>
      <c r="H87">
        <f t="shared" ca="1" si="34"/>
        <v>2.608080401628654E-4</v>
      </c>
      <c r="I87">
        <f t="shared" ca="1" si="34"/>
        <v>-5.8973489401264012E-2</v>
      </c>
    </row>
    <row r="88" spans="2:9" x14ac:dyDescent="0.25">
      <c r="B88" cm="1">
        <f t="array" aca="1" ref="B88:I88" ca="1">MMULT($B$56:$E$56,_xlfn.ANCHORARRAY(B82))</f>
        <v>2.258621969532193E-3</v>
      </c>
      <c r="C88">
        <f ca="1"/>
        <v>-1.5484493239444883</v>
      </c>
      <c r="D88">
        <f ca="1"/>
        <v>-0.80169574507777885</v>
      </c>
      <c r="E88">
        <f ca="1"/>
        <v>-1.0792593198754026</v>
      </c>
      <c r="F88">
        <f ca="1"/>
        <v>0.97280371084065609</v>
      </c>
      <c r="G88">
        <f ca="1"/>
        <v>0.74947697533261304</v>
      </c>
      <c r="H88">
        <f ca="1"/>
        <v>0.55375176330107667</v>
      </c>
      <c r="I88">
        <f ca="1"/>
        <v>-0.85120561378254256</v>
      </c>
    </row>
    <row r="89" spans="2:9" x14ac:dyDescent="0.25">
      <c r="B89" s="24" t="s">
        <v>33</v>
      </c>
    </row>
    <row r="90" spans="2:9" x14ac:dyDescent="0.25">
      <c r="B90" cm="1">
        <f t="array" ref="B90:I97">TRANSPOSE(B8:I15)</f>
        <v>3596308288.0303478</v>
      </c>
      <c r="C90">
        <v>-1299805364.1674309</v>
      </c>
      <c r="D90">
        <v>4386123113.196147</v>
      </c>
      <c r="E90">
        <v>651353194.93030143</v>
      </c>
      <c r="F90">
        <v>22965029.008394428</v>
      </c>
      <c r="G90">
        <v>897305884.78567696</v>
      </c>
      <c r="H90">
        <v>1620113395.3243217</v>
      </c>
      <c r="I90">
        <v>-197951326.94822013</v>
      </c>
    </row>
    <row r="91" spans="2:9" x14ac:dyDescent="0.25">
      <c r="B91">
        <v>112104109.1490982</v>
      </c>
      <c r="C91">
        <v>-370712557.28637189</v>
      </c>
      <c r="D91">
        <v>-501897735.75150818</v>
      </c>
      <c r="E91">
        <v>42515366.784881726</v>
      </c>
      <c r="F91">
        <v>-2586084.758991607</v>
      </c>
      <c r="G91">
        <v>-446866775.5895052</v>
      </c>
      <c r="H91">
        <v>258696263.56457311</v>
      </c>
      <c r="I91">
        <v>-73024020.406853944</v>
      </c>
    </row>
    <row r="92" spans="2:9" x14ac:dyDescent="0.25">
      <c r="B92">
        <v>-281533312.77486974</v>
      </c>
      <c r="C92">
        <v>246727329.54146707</v>
      </c>
      <c r="D92">
        <v>-650980545.29918969</v>
      </c>
      <c r="E92">
        <v>-268245516.07323208</v>
      </c>
      <c r="F92">
        <v>-348059.48458688078</v>
      </c>
      <c r="G92">
        <v>61836712.966391355</v>
      </c>
      <c r="H92">
        <v>82671102.217900023</v>
      </c>
      <c r="I92">
        <v>-179661857.66811639</v>
      </c>
    </row>
    <row r="93" spans="2:9" x14ac:dyDescent="0.25">
      <c r="B93">
        <v>240908692.1399112</v>
      </c>
      <c r="C93">
        <v>-799090831.58109093</v>
      </c>
      <c r="D93">
        <v>1738074914.5883939</v>
      </c>
      <c r="E93">
        <v>-1019595884.7648736</v>
      </c>
      <c r="F93">
        <v>-5581821.6063364716</v>
      </c>
      <c r="G93">
        <v>-636557206.28465295</v>
      </c>
      <c r="H93">
        <v>1655634057.6269898</v>
      </c>
      <c r="I93">
        <v>-1582840811.4779093</v>
      </c>
    </row>
    <row r="94" spans="2:9" x14ac:dyDescent="0.25">
      <c r="B94">
        <v>15766655.709012851</v>
      </c>
      <c r="C94">
        <v>-13091377.803210102</v>
      </c>
      <c r="D94">
        <v>21171854.177725051</v>
      </c>
      <c r="E94">
        <v>-577575.66429607314</v>
      </c>
      <c r="F94">
        <v>26752.695706268394</v>
      </c>
      <c r="G94">
        <v>-1222320.1210906482</v>
      </c>
      <c r="H94">
        <v>29304071.821990363</v>
      </c>
      <c r="I94">
        <v>-25379721.075229663</v>
      </c>
    </row>
    <row r="95" spans="2:9" x14ac:dyDescent="0.25">
      <c r="B95">
        <v>2313897589.2327523</v>
      </c>
      <c r="C95">
        <v>-2015821754.4927025</v>
      </c>
      <c r="D95">
        <v>-1575129602.9847398</v>
      </c>
      <c r="E95">
        <v>1439055098.4499521</v>
      </c>
      <c r="F95">
        <v>2980758.0850737542</v>
      </c>
      <c r="G95">
        <v>-112714283.52439062</v>
      </c>
      <c r="H95">
        <v>3437664970.0247865</v>
      </c>
      <c r="I95">
        <v>-3023894094.2118731</v>
      </c>
    </row>
    <row r="96" spans="2:9" x14ac:dyDescent="0.25">
      <c r="B96">
        <v>1852282143.345588</v>
      </c>
      <c r="C96">
        <v>-1918149055.4937205</v>
      </c>
      <c r="D96">
        <v>1768924576.970449</v>
      </c>
      <c r="E96">
        <v>330111604.79160613</v>
      </c>
      <c r="F96">
        <v>-658669.25099105295</v>
      </c>
      <c r="G96">
        <v>-2345569390.8912868</v>
      </c>
      <c r="H96">
        <v>1604803566.0840061</v>
      </c>
      <c r="I96">
        <v>674240243.8779881</v>
      </c>
    </row>
    <row r="97" spans="2:9" x14ac:dyDescent="0.25">
      <c r="B97">
        <v>-2893440808.1612306</v>
      </c>
      <c r="C97">
        <v>33039589.911983274</v>
      </c>
      <c r="D97">
        <v>-227456581.20689812</v>
      </c>
      <c r="E97">
        <v>-2240680274.6692219</v>
      </c>
      <c r="F97">
        <v>-28604011.894179001</v>
      </c>
      <c r="G97">
        <v>-315452639.08455288</v>
      </c>
      <c r="H97">
        <v>-2672447147.8354821</v>
      </c>
      <c r="I97">
        <v>98894556.596959069</v>
      </c>
    </row>
    <row r="98" spans="2:9" x14ac:dyDescent="0.25">
      <c r="B98" s="24" t="s">
        <v>34</v>
      </c>
    </row>
    <row r="99" spans="2:9" x14ac:dyDescent="0.25">
      <c r="B99">
        <f ca="1">B100*B36*(1-B36)</f>
        <v>910574996.3764323</v>
      </c>
      <c r="C99">
        <f t="shared" ref="C99:I99" ca="1" si="35">C100*C36*(1-C36)</f>
        <v>-10574469.284024931</v>
      </c>
      <c r="D99">
        <f t="shared" ca="1" si="35"/>
        <v>-138301675.66785601</v>
      </c>
      <c r="E99">
        <f t="shared" ca="1" si="35"/>
        <v>693223687.64794648</v>
      </c>
      <c r="F99">
        <f t="shared" ca="1" si="35"/>
        <v>2133950.3416884476</v>
      </c>
      <c r="G99">
        <f t="shared" ca="1" si="35"/>
        <v>39832875.51039584</v>
      </c>
      <c r="H99">
        <f t="shared" ca="1" si="35"/>
        <v>333008058.00525272</v>
      </c>
      <c r="I99">
        <f t="shared" ca="1" si="35"/>
        <v>-5147636.5121036721</v>
      </c>
    </row>
    <row r="100" spans="2:9" x14ac:dyDescent="0.25">
      <c r="B100" cm="1">
        <f t="array" aca="1" ref="B100:I100" ca="1">MMULT(_xlfn.ANCHORARRAY($B$88),_xlfn.ANCHORARRAY(B90))</f>
        <v>5038404666.2554226</v>
      </c>
      <c r="C100">
        <f ca="1"/>
        <v>-1378129421.5586758</v>
      </c>
      <c r="D100">
        <f ca="1"/>
        <v>-553645303.11146641</v>
      </c>
      <c r="E100">
        <f ca="1"/>
        <v>4419154226.1953716</v>
      </c>
      <c r="F100">
        <f ca="1"/>
        <v>36602752.231437445</v>
      </c>
      <c r="G100">
        <f ca="1"/>
        <v>215399332.45933163</v>
      </c>
      <c r="H100">
        <f ca="1"/>
        <v>3518368284.3960552</v>
      </c>
      <c r="I100">
        <f ca="1"/>
        <v>-36889621.78329809</v>
      </c>
    </row>
  </sheetData>
  <mergeCells count="3">
    <mergeCell ref="B2:C2"/>
    <mergeCell ref="D2:F2"/>
    <mergeCell ref="G2:I2"/>
  </mergeCells>
  <conditionalFormatting sqref="B4:B6">
    <cfRule type="expression" dxfId="7" priority="8">
      <formula>$C$3="Male"</formula>
    </cfRule>
  </conditionalFormatting>
  <conditionalFormatting sqref="C4:C6">
    <cfRule type="expression" dxfId="6" priority="7">
      <formula>$C$3="Female"</formula>
    </cfRule>
  </conditionalFormatting>
  <conditionalFormatting sqref="D4:D6">
    <cfRule type="expression" dxfId="5" priority="6">
      <formula>$E$3="Young"</formula>
    </cfRule>
  </conditionalFormatting>
  <conditionalFormatting sqref="E4:E6">
    <cfRule type="expression" dxfId="4" priority="5">
      <formula>$E$3="Adult"</formula>
    </cfRule>
  </conditionalFormatting>
  <conditionalFormatting sqref="F4:F6">
    <cfRule type="expression" dxfId="3" priority="4">
      <formula>$E$3="Aged"</formula>
    </cfRule>
  </conditionalFormatting>
  <conditionalFormatting sqref="G4:G6">
    <cfRule type="expression" dxfId="2" priority="3">
      <formula>$H$3="Poor"</formula>
    </cfRule>
  </conditionalFormatting>
  <conditionalFormatting sqref="H4:H6">
    <cfRule type="expression" dxfId="1" priority="2">
      <formula>$H$3="Normal"</formula>
    </cfRule>
  </conditionalFormatting>
  <conditionalFormatting sqref="I4:I6">
    <cfRule type="expression" dxfId="0" priority="1">
      <formula>$H$3="Rich"</formula>
    </cfRule>
  </conditionalFormatting>
  <pageMargins left="0.7" right="0.7" top="0.75" bottom="0.75" header="0.3" footer="0.3"/>
  <ignoredErrors>
    <ignoredError sqref="D5" formula="1"/>
  </ignoredErrors>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2303-BB7C-460D-8923-BDDF3213F524}">
  <sheetPr codeName="Arkusz2"/>
  <dimension ref="A1"/>
  <sheetViews>
    <sheetView workbookViewId="0">
      <selection activeCell="N16" sqref="N16"/>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0BB1A-56EB-462F-B7F1-753FF2CF142D}">
  <sheetPr codeName="Arkusz3"/>
  <dimension ref="A1:K1"/>
  <sheetViews>
    <sheetView workbookViewId="0">
      <selection activeCell="K2" sqref="K2"/>
    </sheetView>
  </sheetViews>
  <sheetFormatPr defaultRowHeight="15" x14ac:dyDescent="0.25"/>
  <sheetData>
    <row r="1" spans="1:11" x14ac:dyDescent="0.25">
      <c r="A1" t="s">
        <v>13</v>
      </c>
      <c r="K1" t="s">
        <v>14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3</vt:i4>
      </vt:variant>
    </vt:vector>
  </HeadingPairs>
  <TitlesOfParts>
    <vt:vector size="3" baseType="lpstr">
      <vt:lpstr>Arkusz1</vt:lpstr>
      <vt:lpstr>Arkusz3</vt:lpstr>
      <vt:lpstr>POMOC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Mateusz Jankowski</dc:creator>
  <cp:lastModifiedBy>Mateusz Jankowski</cp:lastModifiedBy>
  <dcterms:created xsi:type="dcterms:W3CDTF">2024-09-10T14:52:37Z</dcterms:created>
  <dcterms:modified xsi:type="dcterms:W3CDTF">2024-09-10T18:01:20Z</dcterms:modified>
</cp:coreProperties>
</file>